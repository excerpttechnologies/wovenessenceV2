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7" authorId="0">
      <text>
        <r>
          <rPr>
            <sz val="10"/>
            <rFont val="Arial"/>
            <family val="2"/>
          </rPr>
          <t xml:space="preserve">GST @ 5% total (CGST 2.5% + SGST 2.5%)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<sst xmlns="http://schemas.openxmlformats.org/spreadsheetml/2006/main" count="85" uniqueCount="45">
  <si>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</si>
  <si>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</si>
  <si>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</si>
  <si>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</si>
  <si>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</si>
  <si>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</si>
  <si>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</si>
  <si>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</si>
  <si>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</si>
  <si>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</si>
  <si>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</si>
  <si>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</si>
  <si>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</si>
  <si>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</si>
  <si>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</si>
  <si>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</si>
  <si>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</si>
  <si>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</si>
  <si>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</si>
  <si>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</si>
  <si>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</si>
  <si>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</si>
  <si>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</si>
  <si>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</si>
  <si>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</si>
  <si>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8A3238</t>
  </si>
  <si>
    <t xml:space="preserve">CRB</t>
  </si>
  <si>
    <t xml:space="preserve">GST 5 %</t>
  </si>
  <si>
    <t xml:space="preserve">Pc(s)</t>
  </si>
  <si>
    <t xml:space="preserve">Edit</t>
  </si>
  <si>
    <t xml:space="preserve">8A3239</t>
  </si>
  <si>
    <t xml:space="preserve">8A3240</t>
  </si>
  <si>
    <t xml:space="preserve">8A3241</t>
  </si>
  <si>
    <t xml:space="preserve">8A3242</t>
  </si>
  <si>
    <t xml:space="preserve">8A3243</t>
  </si>
  <si>
    <t xml:space="preserve">8A3244</t>
  </si>
  <si>
    <t xml:space="preserve">8A3245</t>
  </si>
  <si>
    <t xml:space="preserve">8A3246</t>
  </si>
  <si>
    <t xml:space="preserve">8A3247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</si>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</sst>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6" min="14" style="0" width="1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20" min="19" style="0" width="12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3" t="s">
        <v>26</v>
      </c>
      <c r="D3" s="3" t="n">
        <v>500720</v>
      </c>
      <c r="E3" s="3" t="s">
        <v>27</v>
      </c>
      <c r="F3" s="3" t="s">
        <v>28</v>
      </c>
      <c r="G3" s="4" t="n">
        <v>16</v>
      </c>
      <c r="H3" s="3"/>
      <c r="I3" s="4" t="n">
        <v>683.81</v>
      </c>
      <c r="J3" s="4" t="n">
        <v>0</v>
      </c>
      <c r="K3" s="4" t="n">
        <v>0</v>
      </c>
      <c r="L3" s="4" t="n">
        <v>683.81</v>
      </c>
      <c r="M3" s="4" t="n">
        <v>10940.96</v>
      </c>
      <c r="N3" s="4" t="n">
        <v>0</v>
      </c>
      <c r="O3" s="4" t="n">
        <v>273.52</v>
      </c>
      <c r="P3" s="4" t="n">
        <v>273.52</v>
      </c>
      <c r="Q3" s="4" t="n">
        <v>11488.01</v>
      </c>
      <c r="R3" s="4" t="n">
        <v>1450</v>
      </c>
      <c r="S3" s="4" t="n">
        <v>786.38</v>
      </c>
      <c r="T3" s="4" t="n">
        <v>888.95</v>
      </c>
      <c r="U3" s="3"/>
      <c r="V3" s="3" t="s">
        <v>29</v>
      </c>
    </row>
    <row r="4" customFormat="false" ht="15" hidden="false" customHeight="true" outlineLevel="0" collapsed="false">
      <c r="A4" s="3" t="n">
        <v>2</v>
      </c>
      <c r="B4" s="3" t="s">
        <v>30</v>
      </c>
      <c r="C4" s="3" t="s">
        <v>26</v>
      </c>
      <c r="D4" s="3" t="n">
        <v>500720</v>
      </c>
      <c r="E4" s="3" t="s">
        <v>27</v>
      </c>
      <c r="F4" s="3" t="s">
        <v>28</v>
      </c>
      <c r="G4" s="4" t="n">
        <v>16</v>
      </c>
      <c r="H4" s="3"/>
      <c r="I4" s="4" t="n">
        <v>683.81</v>
      </c>
      <c r="J4" s="4" t="n">
        <v>0</v>
      </c>
      <c r="K4" s="4" t="n">
        <v>0</v>
      </c>
      <c r="L4" s="4" t="n">
        <v>683.81</v>
      </c>
      <c r="M4" s="4" t="n">
        <v>10940.96</v>
      </c>
      <c r="N4" s="4" t="n">
        <v>0</v>
      </c>
      <c r="O4" s="4" t="n">
        <v>273.52</v>
      </c>
      <c r="P4" s="4" t="n">
        <v>273.52</v>
      </c>
      <c r="Q4" s="4" t="n">
        <v>11488.01</v>
      </c>
      <c r="R4" s="4" t="n">
        <v>1450</v>
      </c>
      <c r="S4" s="4" t="n">
        <v>786.38</v>
      </c>
      <c r="T4" s="4" t="n">
        <v>888.95</v>
      </c>
      <c r="U4" s="3"/>
      <c r="V4" s="3" t="s">
        <v>29</v>
      </c>
    </row>
    <row r="5" customFormat="false" ht="15" hidden="false" customHeight="true" outlineLevel="0" collapsed="false">
      <c r="A5" s="3" t="n">
        <v>3</v>
      </c>
      <c r="B5" s="3" t="s">
        <v>31</v>
      </c>
      <c r="C5" s="3" t="s">
        <v>26</v>
      </c>
      <c r="D5" s="3" t="n">
        <v>500720</v>
      </c>
      <c r="E5" s="3" t="s">
        <v>27</v>
      </c>
      <c r="F5" s="3" t="s">
        <v>28</v>
      </c>
      <c r="G5" s="4" t="n">
        <v>16</v>
      </c>
      <c r="H5" s="3"/>
      <c r="I5" s="4" t="n">
        <v>683.81</v>
      </c>
      <c r="J5" s="4" t="n">
        <v>0</v>
      </c>
      <c r="K5" s="4" t="n">
        <v>0</v>
      </c>
      <c r="L5" s="4" t="n">
        <v>683.81</v>
      </c>
      <c r="M5" s="4" t="n">
        <v>10940.96</v>
      </c>
      <c r="N5" s="4" t="n">
        <v>0</v>
      </c>
      <c r="O5" s="4" t="n">
        <v>273.52</v>
      </c>
      <c r="P5" s="4" t="n">
        <v>273.52</v>
      </c>
      <c r="Q5" s="4" t="n">
        <v>11488.01</v>
      </c>
      <c r="R5" s="4" t="n">
        <v>1450</v>
      </c>
      <c r="S5" s="4" t="n">
        <v>786.38</v>
      </c>
      <c r="T5" s="4" t="n">
        <v>888.95</v>
      </c>
      <c r="U5" s="3"/>
      <c r="V5" s="3" t="s">
        <v>29</v>
      </c>
    </row>
    <row r="6" customFormat="false" ht="15" hidden="false" customHeight="true" outlineLevel="0" collapsed="false">
      <c r="A6" s="3" t="n">
        <v>4</v>
      </c>
      <c r="B6" s="3" t="s">
        <v>32</v>
      </c>
      <c r="C6" s="3" t="s">
        <v>26</v>
      </c>
      <c r="D6" s="3" t="n">
        <v>500720</v>
      </c>
      <c r="E6" s="3" t="s">
        <v>27</v>
      </c>
      <c r="F6" s="3" t="s">
        <v>28</v>
      </c>
      <c r="G6" s="4" t="n">
        <v>16</v>
      </c>
      <c r="H6" s="3"/>
      <c r="I6" s="4" t="n">
        <v>683.81</v>
      </c>
      <c r="J6" s="4" t="n">
        <v>0</v>
      </c>
      <c r="K6" s="4" t="n">
        <v>0</v>
      </c>
      <c r="L6" s="4" t="n">
        <v>683.81</v>
      </c>
      <c r="M6" s="4" t="n">
        <v>10940.96</v>
      </c>
      <c r="N6" s="4" t="n">
        <v>0</v>
      </c>
      <c r="O6" s="4" t="n">
        <v>273.52</v>
      </c>
      <c r="P6" s="4" t="n">
        <v>273.52</v>
      </c>
      <c r="Q6" s="4" t="n">
        <v>11488.01</v>
      </c>
      <c r="R6" s="4" t="n">
        <v>1450</v>
      </c>
      <c r="S6" s="4" t="n">
        <v>786.38</v>
      </c>
      <c r="T6" s="4" t="n">
        <v>888.95</v>
      </c>
      <c r="U6" s="3"/>
      <c r="V6" s="3" t="s">
        <v>29</v>
      </c>
    </row>
    <row r="7" customFormat="false" ht="15" hidden="false" customHeight="true" outlineLevel="0" collapsed="false">
      <c r="A7" s="3" t="n">
        <v>5</v>
      </c>
      <c r="B7" s="3" t="s">
        <v>33</v>
      </c>
      <c r="C7" s="3" t="s">
        <v>26</v>
      </c>
      <c r="D7" s="3" t="n">
        <v>500720</v>
      </c>
      <c r="E7" s="3" t="s">
        <v>27</v>
      </c>
      <c r="F7" s="3" t="s">
        <v>28</v>
      </c>
      <c r="G7" s="4" t="n">
        <v>16</v>
      </c>
      <c r="H7" s="3"/>
      <c r="I7" s="4" t="n">
        <v>683.81</v>
      </c>
      <c r="J7" s="4" t="n">
        <v>0</v>
      </c>
      <c r="K7" s="4" t="n">
        <v>0</v>
      </c>
      <c r="L7" s="4" t="n">
        <v>683.81</v>
      </c>
      <c r="M7" s="4" t="n">
        <v>10940.96</v>
      </c>
      <c r="N7" s="4" t="n">
        <v>0</v>
      </c>
      <c r="O7" s="4" t="n">
        <v>273.52</v>
      </c>
      <c r="P7" s="4" t="n">
        <v>273.52</v>
      </c>
      <c r="Q7" s="4" t="n">
        <v>11488.01</v>
      </c>
      <c r="R7" s="4" t="n">
        <v>1450</v>
      </c>
      <c r="S7" s="4" t="n">
        <v>786.38</v>
      </c>
      <c r="T7" s="4" t="n">
        <v>888.95</v>
      </c>
      <c r="U7" s="3"/>
      <c r="V7" s="3" t="s">
        <v>29</v>
      </c>
    </row>
    <row r="8" customFormat="false" ht="15" hidden="false" customHeight="true" outlineLevel="0" collapsed="false">
      <c r="A8" s="3" t="n">
        <v>6</v>
      </c>
      <c r="B8" s="3" t="s">
        <v>34</v>
      </c>
      <c r="C8" s="3" t="s">
        <v>26</v>
      </c>
      <c r="D8" s="3" t="n">
        <v>500720</v>
      </c>
      <c r="E8" s="3" t="s">
        <v>27</v>
      </c>
      <c r="F8" s="3" t="s">
        <v>28</v>
      </c>
      <c r="G8" s="4" t="n">
        <v>16</v>
      </c>
      <c r="H8" s="3"/>
      <c r="I8" s="4" t="n">
        <v>683.81</v>
      </c>
      <c r="J8" s="4" t="n">
        <v>0</v>
      </c>
      <c r="K8" s="4" t="n">
        <v>0</v>
      </c>
      <c r="L8" s="4" t="n">
        <v>683.81</v>
      </c>
      <c r="M8" s="4" t="n">
        <v>10940.96</v>
      </c>
      <c r="N8" s="4" t="n">
        <v>0</v>
      </c>
      <c r="O8" s="4" t="n">
        <v>273.52</v>
      </c>
      <c r="P8" s="4" t="n">
        <v>273.52</v>
      </c>
      <c r="Q8" s="4" t="n">
        <v>11488.01</v>
      </c>
      <c r="R8" s="4" t="n">
        <v>1450</v>
      </c>
      <c r="S8" s="4" t="n">
        <v>786.38</v>
      </c>
      <c r="T8" s="4" t="n">
        <v>888.95</v>
      </c>
      <c r="U8" s="3"/>
      <c r="V8" s="3" t="s">
        <v>29</v>
      </c>
    </row>
    <row r="9" customFormat="false" ht="15" hidden="false" customHeight="true" outlineLevel="0" collapsed="false">
      <c r="A9" s="3" t="n">
        <v>7</v>
      </c>
      <c r="B9" s="3" t="s">
        <v>35</v>
      </c>
      <c r="C9" s="3" t="s">
        <v>26</v>
      </c>
      <c r="D9" s="3" t="n">
        <v>500720</v>
      </c>
      <c r="E9" s="3" t="s">
        <v>27</v>
      </c>
      <c r="F9" s="3" t="s">
        <v>28</v>
      </c>
      <c r="G9" s="4" t="n">
        <v>16</v>
      </c>
      <c r="H9" s="3"/>
      <c r="I9" s="4" t="n">
        <v>683.81</v>
      </c>
      <c r="J9" s="4" t="n">
        <v>0</v>
      </c>
      <c r="K9" s="4" t="n">
        <v>0</v>
      </c>
      <c r="L9" s="4" t="n">
        <v>683.81</v>
      </c>
      <c r="M9" s="4" t="n">
        <v>10940.96</v>
      </c>
      <c r="N9" s="4" t="n">
        <v>0</v>
      </c>
      <c r="O9" s="4" t="n">
        <v>273.52</v>
      </c>
      <c r="P9" s="4" t="n">
        <v>273.52</v>
      </c>
      <c r="Q9" s="4" t="n">
        <v>11488.01</v>
      </c>
      <c r="R9" s="4" t="n">
        <v>1450</v>
      </c>
      <c r="S9" s="4" t="n">
        <v>786.38</v>
      </c>
      <c r="T9" s="4" t="n">
        <v>888.95</v>
      </c>
      <c r="U9" s="3"/>
      <c r="V9" s="3" t="s">
        <v>29</v>
      </c>
    </row>
    <row r="10" customFormat="false" ht="15" hidden="false" customHeight="true" outlineLevel="0" collapsed="false">
      <c r="A10" s="3" t="n">
        <v>8</v>
      </c>
      <c r="B10" s="3" t="s">
        <v>36</v>
      </c>
      <c r="C10" s="3" t="s">
        <v>26</v>
      </c>
      <c r="D10" s="3" t="n">
        <v>500720</v>
      </c>
      <c r="E10" s="3" t="s">
        <v>27</v>
      </c>
      <c r="F10" s="3" t="s">
        <v>28</v>
      </c>
      <c r="G10" s="4" t="n">
        <v>16</v>
      </c>
      <c r="H10" s="3"/>
      <c r="I10" s="4" t="n">
        <v>683.81</v>
      </c>
      <c r="J10" s="4" t="n">
        <v>0</v>
      </c>
      <c r="K10" s="4" t="n">
        <v>0</v>
      </c>
      <c r="L10" s="4" t="n">
        <v>683.81</v>
      </c>
      <c r="M10" s="4" t="n">
        <v>10940.96</v>
      </c>
      <c r="N10" s="4" t="n">
        <v>0</v>
      </c>
      <c r="O10" s="4" t="n">
        <v>273.52</v>
      </c>
      <c r="P10" s="4" t="n">
        <v>273.52</v>
      </c>
      <c r="Q10" s="4" t="n">
        <v>11488.01</v>
      </c>
      <c r="R10" s="4" t="n">
        <v>1450</v>
      </c>
      <c r="S10" s="4" t="n">
        <v>786.38</v>
      </c>
      <c r="T10" s="4" t="n">
        <v>888.95</v>
      </c>
      <c r="U10" s="3"/>
      <c r="V10" s="3" t="s">
        <v>29</v>
      </c>
    </row>
    <row r="11" customFormat="false" ht="15" hidden="false" customHeight="true" outlineLevel="0" collapsed="false">
      <c r="A11" s="3" t="n">
        <v>9</v>
      </c>
      <c r="B11" s="3" t="s">
        <v>37</v>
      </c>
      <c r="C11" s="3" t="s">
        <v>26</v>
      </c>
      <c r="D11" s="3" t="n">
        <v>500720</v>
      </c>
      <c r="E11" s="3" t="s">
        <v>27</v>
      </c>
      <c r="F11" s="3" t="s">
        <v>28</v>
      </c>
      <c r="G11" s="4" t="n">
        <v>16</v>
      </c>
      <c r="H11" s="3"/>
      <c r="I11" s="4" t="n">
        <v>683.81</v>
      </c>
      <c r="J11" s="4" t="n">
        <v>0</v>
      </c>
      <c r="K11" s="4" t="n">
        <v>0</v>
      </c>
      <c r="L11" s="4" t="n">
        <v>683.81</v>
      </c>
      <c r="M11" s="4" t="n">
        <v>10940.96</v>
      </c>
      <c r="N11" s="4" t="n">
        <v>0</v>
      </c>
      <c r="O11" s="4" t="n">
        <v>273.52</v>
      </c>
      <c r="P11" s="4" t="n">
        <v>273.52</v>
      </c>
      <c r="Q11" s="4" t="n">
        <v>11488.01</v>
      </c>
      <c r="R11" s="4" t="n">
        <v>1450</v>
      </c>
      <c r="S11" s="4" t="n">
        <v>786.38</v>
      </c>
      <c r="T11" s="4" t="n">
        <v>888.95</v>
      </c>
      <c r="U11" s="3"/>
      <c r="V11" s="3" t="s">
        <v>29</v>
      </c>
    </row>
    <row r="12" customFormat="false" ht="15" hidden="false" customHeight="true" outlineLevel="0" collapsed="false">
      <c r="A12" s="3" t="n">
        <v>10</v>
      </c>
      <c r="B12" s="3" t="s">
        <v>38</v>
      </c>
      <c r="C12" s="3" t="s">
        <v>26</v>
      </c>
      <c r="D12" s="3" t="n">
        <v>500720</v>
      </c>
      <c r="E12" s="3" t="s">
        <v>27</v>
      </c>
      <c r="F12" s="3" t="s">
        <v>28</v>
      </c>
      <c r="G12" s="4" t="n">
        <v>16</v>
      </c>
      <c r="H12" s="3"/>
      <c r="I12" s="4" t="n">
        <v>683.81</v>
      </c>
      <c r="J12" s="4" t="n">
        <v>0</v>
      </c>
      <c r="K12" s="4" t="n">
        <v>0</v>
      </c>
      <c r="L12" s="4" t="n">
        <v>683.81</v>
      </c>
      <c r="M12" s="4" t="n">
        <v>10940.96</v>
      </c>
      <c r="N12" s="4" t="n">
        <v>0</v>
      </c>
      <c r="O12" s="4" t="n">
        <v>273.52</v>
      </c>
      <c r="P12" s="4" t="n">
        <v>273.52</v>
      </c>
      <c r="Q12" s="4" t="n">
        <v>11488.01</v>
      </c>
      <c r="R12" s="4" t="n">
        <v>1450</v>
      </c>
      <c r="S12" s="4" t="n">
        <v>786.38</v>
      </c>
      <c r="T12" s="4" t="n">
        <v>888.95</v>
      </c>
      <c r="U12" s="3"/>
      <c r="V12" s="3" t="s">
        <v>29</v>
      </c>
    </row>
    <row r="13" customFormat="false" ht="15" hidden="false" customHeight="true" outlineLevel="0" collapsed="false">
      <c r="A13" s="5" t="s">
        <v>39</v>
      </c>
      <c r="B13" s="5"/>
      <c r="C13" s="5"/>
      <c r="D13" s="5"/>
      <c r="E13" s="5"/>
      <c r="F13" s="5"/>
      <c r="G13" s="6" t="n">
        <f aca="false">SUM(G3:G12)</f>
        <v>160</v>
      </c>
      <c r="H13" s="6" t="n">
        <f aca="false">SUM(H3:H12)</f>
        <v>0</v>
      </c>
      <c r="I13" s="6" t="n">
        <f aca="false">AVERAGE(I3:I12)</f>
        <v>683.81</v>
      </c>
      <c r="J13" s="6" t="n">
        <f aca="false">SUM(J3:J12)</f>
        <v>0</v>
      </c>
      <c r="K13" s="6" t="n">
        <f aca="false">SUM(K3:K12)</f>
        <v>0</v>
      </c>
      <c r="L13" s="6" t="n">
        <f aca="false">AVERAGE(L3:L12)</f>
        <v>683.81</v>
      </c>
      <c r="M13" s="6" t="n">
        <f aca="false">SUM(M3:M12)</f>
        <v>109409.6</v>
      </c>
      <c r="N13" s="6" t="n">
        <f aca="false">SUM(N3:N12)</f>
        <v>0</v>
      </c>
      <c r="O13" s="6" t="n">
        <f aca="false">SUM(O3:O12)</f>
        <v>2735.2</v>
      </c>
      <c r="P13" s="6" t="n">
        <f aca="false">SUM(P3:P12)</f>
        <v>2735.2</v>
      </c>
      <c r="Q13" s="6" t="n">
        <f aca="false">SUM(Q3:Q12)</f>
        <v>114880.1</v>
      </c>
      <c r="R13" s="6" t="n">
        <f aca="false">AVERAGE(R3:R12)</f>
        <v>1450</v>
      </c>
      <c r="S13" s="6" t="n">
        <f aca="false">AVERAGE(S3:S12)</f>
        <v>786.38</v>
      </c>
      <c r="T13" s="6" t="n">
        <f aca="false">AVERAGE(T3:T12)</f>
        <v>888.95</v>
      </c>
      <c r="U13" s="7"/>
      <c r="V13" s="7"/>
    </row>
    <row r="15" customFormat="false" ht="21.75" hidden="false" customHeight="true" outlineLevel="0" collapsed="false">
      <c r="A15" s="8" t="s">
        <v>40</v>
      </c>
    </row>
    <row r="16" customFormat="false" ht="24" hidden="false" customHeight="true" outlineLevel="0" collapsed="false">
      <c r="A16" s="2" t="s">
        <v>0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8</v>
      </c>
      <c r="G16" s="2" t="s">
        <v>9</v>
      </c>
    </row>
    <row r="17" customFormat="false" ht="19.5" hidden="false" customHeight="true" outlineLevel="0" collapsed="false">
      <c r="A17" s="9" t="n">
        <v>1</v>
      </c>
      <c r="B17" s="9" t="n">
        <v>1</v>
      </c>
      <c r="C17" s="9" t="str">
        <f aca="false">C3</f>
        <v>CRB</v>
      </c>
      <c r="D17" s="10" t="n">
        <f aca="false">SUM(G3:G3)</f>
        <v>16</v>
      </c>
      <c r="E17" s="10" t="n">
        <f aca="false">SUM(M3:M3)</f>
        <v>10940.96</v>
      </c>
      <c r="F17" s="10" t="n">
        <f aca="false">ROUND(E17*5%,2)</f>
        <v>547.05</v>
      </c>
      <c r="G17" s="10" t="n">
        <f aca="false">E17+F17</f>
        <v>11488.01</v>
      </c>
    </row>
    <row r="18" customFormat="false" ht="19.5" hidden="false" customHeight="true" outlineLevel="0" collapsed="false">
      <c r="A18" s="9" t="n">
        <v>2</v>
      </c>
      <c r="B18" s="9" t="n">
        <v>2</v>
      </c>
      <c r="C18" s="9" t="str">
        <f aca="false">C4</f>
        <v>CRB</v>
      </c>
      <c r="D18" s="10" t="n">
        <f aca="false">SUM(G4:G4)</f>
        <v>16</v>
      </c>
      <c r="E18" s="10" t="n">
        <f aca="false">SUM(M4:M4)</f>
        <v>10940.96</v>
      </c>
      <c r="F18" s="10" t="n">
        <f aca="false">ROUND(E18*5%,2)</f>
        <v>547.05</v>
      </c>
      <c r="G18" s="10" t="n">
        <f aca="false">E18+F18</f>
        <v>11488.01</v>
      </c>
    </row>
    <row r="19" customFormat="false" ht="19.5" hidden="false" customHeight="true" outlineLevel="0" collapsed="false">
      <c r="A19" s="9" t="n">
        <v>3</v>
      </c>
      <c r="B19" s="9" t="n">
        <v>3</v>
      </c>
      <c r="C19" s="9" t="str">
        <f aca="false">C5</f>
        <v>CRB</v>
      </c>
      <c r="D19" s="10" t="n">
        <f aca="false">SUM(G5:G5)</f>
        <v>16</v>
      </c>
      <c r="E19" s="10" t="n">
        <f aca="false">SUM(M5:M5)</f>
        <v>10940.96</v>
      </c>
      <c r="F19" s="10" t="n">
        <f aca="false">ROUND(E19*5%,2)</f>
        <v>547.05</v>
      </c>
      <c r="G19" s="10" t="n">
        <f aca="false">E19+F19</f>
        <v>11488.01</v>
      </c>
    </row>
    <row r="20" customFormat="false" ht="19.5" hidden="false" customHeight="true" outlineLevel="0" collapsed="false">
      <c r="A20" s="9" t="n">
        <v>4</v>
      </c>
      <c r="B20" s="9" t="n">
        <v>4</v>
      </c>
      <c r="C20" s="9" t="str">
        <f aca="false">C6</f>
        <v>CRB</v>
      </c>
      <c r="D20" s="10" t="n">
        <f aca="false">SUM(G6:G6)</f>
        <v>16</v>
      </c>
      <c r="E20" s="10" t="n">
        <f aca="false">SUM(M6:M6)</f>
        <v>10940.96</v>
      </c>
      <c r="F20" s="10" t="n">
        <f aca="false">ROUND(E20*5%,2)</f>
        <v>547.05</v>
      </c>
      <c r="G20" s="10" t="n">
        <f aca="false">E20+F20</f>
        <v>11488.01</v>
      </c>
    </row>
    <row r="21" customFormat="false" ht="19.5" hidden="false" customHeight="true" outlineLevel="0" collapsed="false">
      <c r="A21" s="9" t="n">
        <v>5</v>
      </c>
      <c r="B21" s="9" t="n">
        <v>5</v>
      </c>
      <c r="C21" s="9" t="str">
        <f aca="false">C7</f>
        <v>CRB</v>
      </c>
      <c r="D21" s="10" t="n">
        <f aca="false">SUM(G7:G7)</f>
        <v>16</v>
      </c>
      <c r="E21" s="10" t="n">
        <f aca="false">SUM(M7:M7)</f>
        <v>10940.96</v>
      </c>
      <c r="F21" s="10" t="n">
        <f aca="false">ROUND(E21*5%,2)</f>
        <v>547.05</v>
      </c>
      <c r="G21" s="10" t="n">
        <f aca="false">E21+F21</f>
        <v>11488.01</v>
      </c>
    </row>
    <row r="22" customFormat="false" ht="19.5" hidden="false" customHeight="true" outlineLevel="0" collapsed="false">
      <c r="A22" s="9" t="n">
        <v>6</v>
      </c>
      <c r="B22" s="9" t="n">
        <v>6</v>
      </c>
      <c r="C22" s="9" t="str">
        <f aca="false">C8</f>
        <v>CRB</v>
      </c>
      <c r="D22" s="10" t="n">
        <f aca="false">SUM(G8:G8)</f>
        <v>16</v>
      </c>
      <c r="E22" s="10" t="n">
        <f aca="false">SUM(M8:M8)</f>
        <v>10940.96</v>
      </c>
      <c r="F22" s="10" t="n">
        <f aca="false">ROUND(E22*5%,2)</f>
        <v>547.05</v>
      </c>
      <c r="G22" s="10" t="n">
        <f aca="false">E22+F22</f>
        <v>11488.01</v>
      </c>
    </row>
    <row r="23" customFormat="false" ht="19.5" hidden="false" customHeight="true" outlineLevel="0" collapsed="false">
      <c r="A23" s="9" t="n">
        <v>7</v>
      </c>
      <c r="B23" s="9" t="n">
        <v>7</v>
      </c>
      <c r="C23" s="9" t="str">
        <f aca="false">C9</f>
        <v>CRB</v>
      </c>
      <c r="D23" s="10" t="n">
        <f aca="false">SUM(G9:G9)</f>
        <v>16</v>
      </c>
      <c r="E23" s="10" t="n">
        <f aca="false">SUM(M9:M9)</f>
        <v>10940.96</v>
      </c>
      <c r="F23" s="10" t="n">
        <f aca="false">ROUND(E23*5%,2)</f>
        <v>547.05</v>
      </c>
      <c r="G23" s="10" t="n">
        <f aca="false">E23+F23</f>
        <v>11488.01</v>
      </c>
    </row>
    <row r="24" customFormat="false" ht="19.5" hidden="false" customHeight="true" outlineLevel="0" collapsed="false">
      <c r="A24" s="9" t="n">
        <v>8</v>
      </c>
      <c r="B24" s="9" t="n">
        <v>8</v>
      </c>
      <c r="C24" s="9" t="str">
        <f aca="false">C10</f>
        <v>CRB</v>
      </c>
      <c r="D24" s="10" t="n">
        <f aca="false">SUM(G10:G10)</f>
        <v>16</v>
      </c>
      <c r="E24" s="10" t="n">
        <f aca="false">SUM(M10:M10)</f>
        <v>10940.96</v>
      </c>
      <c r="F24" s="10" t="n">
        <f aca="false">ROUND(E24*5%,2)</f>
        <v>547.05</v>
      </c>
      <c r="G24" s="10" t="n">
        <f aca="false">E24+F24</f>
        <v>11488.01</v>
      </c>
    </row>
    <row r="25" customFormat="false" ht="19.5" hidden="false" customHeight="true" outlineLevel="0" collapsed="false">
      <c r="A25" s="9" t="n">
        <v>9</v>
      </c>
      <c r="B25" s="9" t="n">
        <v>9</v>
      </c>
      <c r="C25" s="9" t="str">
        <f aca="false">C11</f>
        <v>CRB</v>
      </c>
      <c r="D25" s="10" t="n">
        <f aca="false">SUM(G11:G11)</f>
        <v>16</v>
      </c>
      <c r="E25" s="10" t="n">
        <f aca="false">SUM(M11:M11)</f>
        <v>10940.96</v>
      </c>
      <c r="F25" s="10" t="n">
        <f aca="false">ROUND(E25*5%,2)</f>
        <v>547.05</v>
      </c>
      <c r="G25" s="10" t="n">
        <f aca="false">E25+F25</f>
        <v>11488.01</v>
      </c>
    </row>
    <row r="26" customFormat="false" ht="19.5" hidden="false" customHeight="true" outlineLevel="0" collapsed="false">
      <c r="A26" s="9" t="n">
        <v>10</v>
      </c>
      <c r="B26" s="9" t="n">
        <v>10</v>
      </c>
      <c r="C26" s="9" t="str">
        <f aca="false">C12</f>
        <v>CRB</v>
      </c>
      <c r="D26" s="10" t="n">
        <f aca="false">SUM(G12:G12)</f>
        <v>16</v>
      </c>
      <c r="E26" s="10" t="n">
        <f aca="false">SUM(M12:M12)</f>
        <v>10940.96</v>
      </c>
      <c r="F26" s="10" t="n">
        <f aca="false">ROUND(E26*5%,2)</f>
        <v>547.05</v>
      </c>
      <c r="G26" s="10" t="n">
        <f aca="false">E26+F26</f>
        <v>11488.01</v>
      </c>
    </row>
    <row r="27" customFormat="false" ht="19.5" hidden="false" customHeight="true" outlineLevel="0" collapsed="false">
      <c r="A27" s="11" t="s">
        <v>39</v>
      </c>
      <c r="B27" s="12"/>
      <c r="C27" s="12"/>
      <c r="D27" s="13" t="n">
        <f aca="false">SUM(D17:D26)</f>
        <v>160</v>
      </c>
      <c r="E27" s="13" t="n">
        <f aca="false">SUM(E17:E26)</f>
        <v>109409.6</v>
      </c>
      <c r="F27" s="13" t="n">
        <f aca="false">ROUND(E27*5%,2)</f>
        <v>5470.48</v>
      </c>
      <c r="G27" s="13" t="n">
        <f aca="false">E27+F27</f>
        <v>114880.08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2026-09-05T11:28:45Z</dcterms:created>
  <dc:creator>openpyxl</dc:creator>
  <dc:description/>
  <dc:language>en-US</dc:language>
  <cp:lastModifiedBy/>
  <dcterms:modified xsi:type="dcterms:W3CDTF">2026-09-10T07:17:38Z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