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" authorId="0">
      <text>
        <r>
          <rPr>
            <sz val="10"/>
            <rFont val="Arial"/>
            <family val="2"/>
          </rPr>
          <t xml:space="preserve">GST @ 5% (IGST)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<sst xmlns="http://schemas.openxmlformats.org/spreadsheetml/2006/main" count="38" uniqueCount="34">
  <si>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</si>
  <si>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</si>
  <si>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</si>
  <si>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</si>
  <si>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</si>
  <si>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</si>
  <si>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</si>
  <si>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</si>
  <si>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</si>
  <si>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</si>
  <si>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</si>
  <si>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</si>
  <si>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</si>
  <si>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</si>
  <si>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</si>
  <si>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</si>
  <si>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</si>
  <si>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</si>
  <si>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</si>
  <si>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</si>
  <si>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</si>
  <si>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</si>
  <si>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</si>
  <si>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8A2882</t>
  </si>
  <si>
    <t xml:space="preserve">4-VNS</t>
  </si>
  <si>
    <t xml:space="preserve">500790</t>
  </si>
  <si>
    <t xml:space="preserve">GST 5 %</t>
  </si>
  <si>
    <t xml:space="preserve">Mtr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</si>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</sst>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₹#,##0.00"/>
    <numFmt numFmtId="167" formatCode="0.00%"/>
    <numFmt numFmtId="168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366092"/>
        <bgColor rgb="FF1F4E79"/>
      </patternFill>
    </fill>
    <fill>
      <patternFill patternType="solid">
        <fgColor rgb="FFFFFFFF"/>
        <bgColor rgb="FFFFFFCC"/>
      </patternFill>
    </fill>
    <fill>
      <patternFill patternType="solid">
        <fgColor rgb="FFE9EEF4"/>
        <bgColor rgb="FFD9E1F2"/>
      </patternFill>
    </fill>
    <fill>
      <patternFill patternType="solid">
        <fgColor rgb="FFD9E1F2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8" min="7" style="0" width="15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7"/>
    <col collapsed="false" customWidth="true" hidden="false" outlineLevel="0" max="14" min="13" style="0" width="15"/>
    <col collapsed="false" customWidth="true" hidden="false" outlineLevel="0" max="16" min="15" style="0" width="12"/>
    <col collapsed="false" customWidth="true" hidden="false" outlineLevel="0" max="17" min="17" style="0" width="16"/>
    <col collapsed="false" customWidth="true" hidden="false" outlineLevel="0" max="20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</row>
    <row r="2" customFormat="false" ht="19.5" hidden="false" customHeight="true" outlineLevel="0" collapsed="false">
      <c r="A2" s="1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1"/>
      <c r="H2" s="1"/>
      <c r="I2" s="1"/>
      <c r="J2" s="1" t="s">
        <v>18</v>
      </c>
      <c r="K2" s="1" t="s">
        <v>19</v>
      </c>
      <c r="L2" s="1"/>
      <c r="M2" s="1"/>
      <c r="N2" s="1" t="s">
        <v>20</v>
      </c>
      <c r="O2" s="1" t="s">
        <v>21</v>
      </c>
      <c r="P2" s="1" t="s">
        <v>22</v>
      </c>
      <c r="Q2" s="1"/>
      <c r="R2" s="1"/>
      <c r="S2" s="1"/>
      <c r="T2" s="1"/>
    </row>
    <row r="3" customFormat="false" ht="19.5" hidden="false" customHeight="true" outlineLevel="0" collapsed="false">
      <c r="A3" s="3" t="n">
        <v>1</v>
      </c>
      <c r="B3" s="3" t="s">
        <v>23</v>
      </c>
      <c r="C3" s="4" t="s">
        <v>24</v>
      </c>
      <c r="D3" s="3" t="s">
        <v>25</v>
      </c>
      <c r="E3" s="3" t="s">
        <v>26</v>
      </c>
      <c r="F3" s="3" t="s">
        <v>27</v>
      </c>
      <c r="G3" s="5" t="n">
        <v>45.8</v>
      </c>
      <c r="H3" s="3" t="n">
        <v>1</v>
      </c>
      <c r="I3" s="6" t="n">
        <v>1350</v>
      </c>
      <c r="J3" s="7" t="n">
        <v>0</v>
      </c>
      <c r="K3" s="6" t="n">
        <v>0</v>
      </c>
      <c r="L3" s="6" t="n">
        <f aca="false">I3*(1-J3)-K3</f>
        <v>1350</v>
      </c>
      <c r="M3" s="6" t="n">
        <f aca="false">G3*L3</f>
        <v>61830</v>
      </c>
      <c r="N3" s="6" t="n">
        <v>3091.5</v>
      </c>
      <c r="O3" s="6" t="n">
        <v>0</v>
      </c>
      <c r="P3" s="6" t="n">
        <v>0</v>
      </c>
      <c r="Q3" s="6" t="n">
        <f aca="false">M3+N3+O3+P3</f>
        <v>64921.5</v>
      </c>
      <c r="R3" s="6" t="n">
        <v>1690</v>
      </c>
      <c r="S3" s="6" t="n">
        <v>1552.5</v>
      </c>
      <c r="T3" s="6" t="n">
        <v>1755</v>
      </c>
    </row>
    <row r="4" customFormat="false" ht="21.75" hidden="false" customHeight="true" outlineLevel="0" collapsed="false">
      <c r="A4" s="8" t="s">
        <v>28</v>
      </c>
      <c r="B4" s="9"/>
      <c r="C4" s="9"/>
      <c r="D4" s="9"/>
      <c r="E4" s="9"/>
      <c r="F4" s="9"/>
      <c r="G4" s="10" t="n">
        <f aca="false">SUM(G3:G3)</f>
        <v>45.8</v>
      </c>
      <c r="H4" s="9"/>
      <c r="I4" s="9"/>
      <c r="J4" s="9"/>
      <c r="K4" s="9"/>
      <c r="L4" s="9"/>
      <c r="M4" s="11" t="n">
        <f aca="false">SUM(M3:M3)</f>
        <v>61830</v>
      </c>
      <c r="N4" s="11" t="n">
        <f aca="false">SUM(N3:N3)</f>
        <v>3091.5</v>
      </c>
      <c r="O4" s="9"/>
      <c r="P4" s="9"/>
      <c r="Q4" s="11" t="n">
        <f aca="false">SUM(Q3:Q3)</f>
        <v>64921.5</v>
      </c>
      <c r="R4" s="9"/>
      <c r="S4" s="9"/>
      <c r="T4" s="9"/>
    </row>
    <row r="6" customFormat="false" ht="21.75" hidden="false" customHeight="true" outlineLevel="0" collapsed="false">
      <c r="A6" s="12" t="s">
        <v>29</v>
      </c>
    </row>
    <row r="7" customFormat="false" ht="24" hidden="false" customHeight="true" outlineLevel="0" collapsed="false">
      <c r="A7" s="2" t="s">
        <v>0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8</v>
      </c>
      <c r="G7" s="2" t="s">
        <v>9</v>
      </c>
    </row>
    <row r="8" customFormat="false" ht="19.5" hidden="false" customHeight="true" outlineLevel="0" collapsed="false">
      <c r="A8" s="13" t="n">
        <v>1</v>
      </c>
      <c r="B8" s="13" t="n">
        <v>1</v>
      </c>
      <c r="C8" s="13" t="str">
        <f aca="false">C3</f>
        <v>4-VNS</v>
      </c>
      <c r="D8" s="14" t="n">
        <f aca="false">SUM(G3:G3)</f>
        <v>45.8</v>
      </c>
      <c r="E8" s="14" t="n">
        <f aca="false">SUM(M3:M3)</f>
        <v>61830</v>
      </c>
      <c r="F8" s="14" t="n">
        <f aca="false">ROUND(E8*5%,2)</f>
        <v>3091.5</v>
      </c>
      <c r="G8" s="14" t="n">
        <f aca="false">E8+F8</f>
        <v>64921.5</v>
      </c>
    </row>
    <row r="9" customFormat="false" ht="19.5" hidden="false" customHeight="true" outlineLevel="0" collapsed="false">
      <c r="A9" s="15" t="s">
        <v>28</v>
      </c>
      <c r="B9" s="16"/>
      <c r="C9" s="16"/>
      <c r="D9" s="17" t="n">
        <f aca="false">SUM(D8:D8)</f>
        <v>45.8</v>
      </c>
      <c r="E9" s="17" t="n">
        <f aca="false">SUM(E8:E8)</f>
        <v>61830</v>
      </c>
      <c r="F9" s="17" t="n">
        <f aca="false">ROUND(E9*5%,2)</f>
        <v>3091.5</v>
      </c>
      <c r="G9" s="17" t="n">
        <f aca="false">E9+F9</f>
        <v>64921.5</v>
      </c>
    </row>
  </sheetData>
  <mergeCells count="13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2026-09-08T12:18:46Z</dcterms:created>
  <dc:creator>openpyxl</dc:creator>
  <dc:description/>
  <dc:language>en-US</dc:language>
  <cp:lastModifiedBy/>
  <dcterms:modified xsi:type="dcterms:W3CDTF">2026-09-10T07:39:45Z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