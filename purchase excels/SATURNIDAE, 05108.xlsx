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definedNames>
    <definedName function="false" hidden="true" localSheetId="0" name="_xlnm._FilterDatabase" vbProcedure="false">'Inventory Data'!$A$1:$V$10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4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<sst xmlns="http://schemas.openxmlformats.org/spreadsheetml/2006/main" count="70" uniqueCount="42">
  <si>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</si>
  <si>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</si>
  <si>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</si>
  <si>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</si>
  <si>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</si>
  <si>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</si>
  <si>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</si>
  <si>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</si>
  <si>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</si>
  <si>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</si>
  <si>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</si>
  <si>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</si>
  <si>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</si>
  <si>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</si>
  <si>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</si>
  <si>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</si>
  <si>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</si>
  <si>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</si>
  <si>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</si>
  <si>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</si>
  <si>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</si>
  <si>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</si>
  <si>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</si>
  <si>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</si>
  <si>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</si>
  <si>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8A2837</t>
  </si>
  <si>
    <t xml:space="preserve">3PC-ASUIT</t>
  </si>
  <si>
    <t xml:space="preserve">500720</t>
  </si>
  <si>
    <t xml:space="preserve">GST 5 %</t>
  </si>
  <si>
    <t xml:space="preserve">Pc(s)</t>
  </si>
  <si>
    <t xml:space="preserve">8A2838</t>
  </si>
  <si>
    <t xml:space="preserve">8A2839</t>
  </si>
  <si>
    <t xml:space="preserve">8A2840</t>
  </si>
  <si>
    <t xml:space="preserve">8A2841</t>
  </si>
  <si>
    <t xml:space="preserve">8A2842</t>
  </si>
  <si>
    <t xml:space="preserve">8A2843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</si>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</sst>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6"/>
      <c r="I3" s="5" t="n">
        <v>10500</v>
      </c>
      <c r="J3" s="5" t="n">
        <v>0</v>
      </c>
      <c r="K3" s="5" t="n">
        <v>0</v>
      </c>
      <c r="L3" s="5" t="n">
        <f aca="false">I3*(1-J3)-K3</f>
        <v>10500</v>
      </c>
      <c r="M3" s="5" t="n">
        <f aca="false">G3*L3</f>
        <v>10500</v>
      </c>
      <c r="N3" s="5" t="n">
        <v>525</v>
      </c>
      <c r="O3" s="5" t="n">
        <v>0</v>
      </c>
      <c r="P3" s="5" t="n">
        <v>0</v>
      </c>
      <c r="Q3" s="5" t="n">
        <f aca="false">M3+N3+O3+P3</f>
        <v>11025</v>
      </c>
      <c r="R3" s="5" t="n">
        <v>16980</v>
      </c>
      <c r="S3" s="5" t="n">
        <v>12075</v>
      </c>
      <c r="T3" s="5" t="n">
        <v>13650</v>
      </c>
      <c r="U3" s="3"/>
      <c r="V3" s="3"/>
    </row>
    <row r="4" customFormat="false" ht="19.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</v>
      </c>
      <c r="H4" s="10"/>
      <c r="I4" s="9" t="n">
        <v>10500</v>
      </c>
      <c r="J4" s="9" t="n">
        <v>0</v>
      </c>
      <c r="K4" s="9" t="n">
        <v>0</v>
      </c>
      <c r="L4" s="9" t="n">
        <f aca="false">I4*(1-J4)-K4</f>
        <v>10500</v>
      </c>
      <c r="M4" s="9" t="n">
        <f aca="false">G4*L4</f>
        <v>10500</v>
      </c>
      <c r="N4" s="9" t="n">
        <v>525</v>
      </c>
      <c r="O4" s="9" t="n">
        <v>0</v>
      </c>
      <c r="P4" s="9" t="n">
        <v>0</v>
      </c>
      <c r="Q4" s="9" t="n">
        <f aca="false">M4+N4+O4+P4</f>
        <v>11025</v>
      </c>
      <c r="R4" s="9" t="n">
        <v>16980</v>
      </c>
      <c r="S4" s="9" t="n">
        <v>12075</v>
      </c>
      <c r="T4" s="9" t="n">
        <v>13650</v>
      </c>
      <c r="U4" s="7"/>
      <c r="V4" s="7"/>
    </row>
    <row r="5" customFormat="false" ht="19.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6"/>
      <c r="I5" s="5" t="n">
        <v>10500</v>
      </c>
      <c r="J5" s="5" t="n">
        <v>0</v>
      </c>
      <c r="K5" s="5" t="n">
        <v>0</v>
      </c>
      <c r="L5" s="5" t="n">
        <f aca="false">I5*(1-J5)-K5</f>
        <v>10500</v>
      </c>
      <c r="M5" s="5" t="n">
        <f aca="false">G5*L5</f>
        <v>10500</v>
      </c>
      <c r="N5" s="5" t="n">
        <v>525</v>
      </c>
      <c r="O5" s="5" t="n">
        <v>0</v>
      </c>
      <c r="P5" s="5" t="n">
        <v>0</v>
      </c>
      <c r="Q5" s="5" t="n">
        <f aca="false">M5+N5+O5+P5</f>
        <v>11025</v>
      </c>
      <c r="R5" s="5" t="n">
        <v>16980</v>
      </c>
      <c r="S5" s="5" t="n">
        <v>12075</v>
      </c>
      <c r="T5" s="5" t="n">
        <v>13650</v>
      </c>
      <c r="U5" s="3"/>
      <c r="V5" s="3"/>
    </row>
    <row r="6" customFormat="false" ht="19.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</v>
      </c>
      <c r="H6" s="10"/>
      <c r="I6" s="9" t="n">
        <v>10500</v>
      </c>
      <c r="J6" s="9" t="n">
        <v>0</v>
      </c>
      <c r="K6" s="9" t="n">
        <v>0</v>
      </c>
      <c r="L6" s="9" t="n">
        <f aca="false">I6*(1-J6)-K6</f>
        <v>10500</v>
      </c>
      <c r="M6" s="9" t="n">
        <f aca="false">G6*L6</f>
        <v>10500</v>
      </c>
      <c r="N6" s="9" t="n">
        <v>525</v>
      </c>
      <c r="O6" s="9" t="n">
        <v>0</v>
      </c>
      <c r="P6" s="9" t="n">
        <v>0</v>
      </c>
      <c r="Q6" s="9" t="n">
        <f aca="false">M6+N6+O6+P6</f>
        <v>11025</v>
      </c>
      <c r="R6" s="9" t="n">
        <v>16980</v>
      </c>
      <c r="S6" s="9" t="n">
        <v>12075</v>
      </c>
      <c r="T6" s="9" t="n">
        <v>13650</v>
      </c>
      <c r="U6" s="7"/>
      <c r="V6" s="7"/>
    </row>
    <row r="7" customFormat="false" ht="19.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6"/>
      <c r="I7" s="5" t="n">
        <v>10500</v>
      </c>
      <c r="J7" s="5" t="n">
        <v>0</v>
      </c>
      <c r="K7" s="5" t="n">
        <v>0</v>
      </c>
      <c r="L7" s="5" t="n">
        <f aca="false">I7*(1-J7)-K7</f>
        <v>10500</v>
      </c>
      <c r="M7" s="5" t="n">
        <f aca="false">G7*L7</f>
        <v>10500</v>
      </c>
      <c r="N7" s="5" t="n">
        <v>525</v>
      </c>
      <c r="O7" s="5" t="n">
        <v>0</v>
      </c>
      <c r="P7" s="5" t="n">
        <v>0</v>
      </c>
      <c r="Q7" s="5" t="n">
        <f aca="false">M7+N7+O7+P7</f>
        <v>11025</v>
      </c>
      <c r="R7" s="5" t="n">
        <v>16980</v>
      </c>
      <c r="S7" s="5" t="n">
        <v>12075</v>
      </c>
      <c r="T7" s="5" t="n">
        <v>13650</v>
      </c>
      <c r="U7" s="3"/>
      <c r="V7" s="3"/>
    </row>
    <row r="8" customFormat="false" ht="19.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</v>
      </c>
      <c r="H8" s="10"/>
      <c r="I8" s="9" t="n">
        <v>10500</v>
      </c>
      <c r="J8" s="9" t="n">
        <v>0</v>
      </c>
      <c r="K8" s="9" t="n">
        <v>0</v>
      </c>
      <c r="L8" s="9" t="n">
        <f aca="false">I8*(1-J8)-K8</f>
        <v>10500</v>
      </c>
      <c r="M8" s="9" t="n">
        <f aca="false">G8*L8</f>
        <v>10500</v>
      </c>
      <c r="N8" s="9" t="n">
        <v>525</v>
      </c>
      <c r="O8" s="9" t="n">
        <v>0</v>
      </c>
      <c r="P8" s="9" t="n">
        <v>0</v>
      </c>
      <c r="Q8" s="9" t="n">
        <f aca="false">M8+N8+O8+P8</f>
        <v>11025</v>
      </c>
      <c r="R8" s="9" t="n">
        <v>16980</v>
      </c>
      <c r="S8" s="9" t="n">
        <v>12075</v>
      </c>
      <c r="T8" s="9" t="n">
        <v>13650</v>
      </c>
      <c r="U8" s="7"/>
      <c r="V8" s="7"/>
    </row>
    <row r="9" customFormat="false" ht="21.7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6"/>
      <c r="I9" s="5" t="n">
        <v>10500</v>
      </c>
      <c r="J9" s="5" t="n">
        <v>0</v>
      </c>
      <c r="K9" s="5" t="n">
        <v>0</v>
      </c>
      <c r="L9" s="5" t="n">
        <f aca="false">I9*(1-J9)-K9</f>
        <v>10500</v>
      </c>
      <c r="M9" s="5" t="n">
        <f aca="false">G9*L9</f>
        <v>10500</v>
      </c>
      <c r="N9" s="5" t="n">
        <v>525</v>
      </c>
      <c r="O9" s="5" t="n">
        <v>0</v>
      </c>
      <c r="P9" s="5" t="n">
        <v>0</v>
      </c>
      <c r="Q9" s="5" t="n">
        <f aca="false">M9+N9+O9+P9</f>
        <v>11025</v>
      </c>
      <c r="R9" s="5" t="n">
        <v>16980</v>
      </c>
      <c r="S9" s="5" t="n">
        <v>12075</v>
      </c>
      <c r="T9" s="5" t="n">
        <v>13650</v>
      </c>
      <c r="U9" s="3"/>
      <c r="V9" s="3"/>
    </row>
    <row r="10" customFormat="false" ht="14.25" hidden="false" customHeight="false" outlineLevel="0" collapsed="false">
      <c r="A10" s="11" t="s">
        <v>36</v>
      </c>
      <c r="B10" s="11"/>
      <c r="C10" s="12"/>
      <c r="D10" s="11"/>
      <c r="E10" s="11"/>
      <c r="F10" s="11"/>
      <c r="G10" s="13" t="n">
        <f aca="false">SUM(G3:G9)</f>
        <v>7</v>
      </c>
      <c r="H10" s="14"/>
      <c r="I10" s="14"/>
      <c r="J10" s="14"/>
      <c r="K10" s="14"/>
      <c r="L10" s="14"/>
      <c r="M10" s="13" t="n">
        <f aca="false">SUM(M3:M9)</f>
        <v>73500</v>
      </c>
      <c r="N10" s="13" t="n">
        <f aca="false">SUM(N3:N9)</f>
        <v>3675</v>
      </c>
      <c r="O10" s="14"/>
      <c r="P10" s="14"/>
      <c r="Q10" s="13" t="n">
        <f aca="false">SUM(Q3:Q9)</f>
        <v>77175</v>
      </c>
      <c r="R10" s="14"/>
      <c r="S10" s="14"/>
      <c r="T10" s="14"/>
      <c r="U10" s="11"/>
      <c r="V10" s="11"/>
    </row>
    <row r="12" customFormat="false" ht="21.75" hidden="false" customHeight="true" outlineLevel="0" collapsed="false">
      <c r="A12" s="15" t="s">
        <v>37</v>
      </c>
    </row>
    <row r="13" customFormat="false" ht="24" hidden="false" customHeight="true" outlineLevel="0" collapsed="false">
      <c r="A13" s="2" t="s">
        <v>0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8</v>
      </c>
      <c r="G13" s="2" t="s">
        <v>9</v>
      </c>
    </row>
    <row r="14" customFormat="false" ht="19.5" hidden="false" customHeight="true" outlineLevel="0" collapsed="false">
      <c r="A14" s="16" t="n">
        <v>1</v>
      </c>
      <c r="B14" s="16" t="n">
        <v>1</v>
      </c>
      <c r="C14" s="16" t="str">
        <f aca="false">C3</f>
        <v>3PC-ASUIT</v>
      </c>
      <c r="D14" s="17" t="n">
        <f aca="false">SUM(G3:G9)</f>
        <v>7</v>
      </c>
      <c r="E14" s="17" t="n">
        <f aca="false">SUM(M3:M9)</f>
        <v>73500</v>
      </c>
      <c r="F14" s="17" t="n">
        <f aca="false">ROUND(E14*5%,2)</f>
        <v>3675</v>
      </c>
      <c r="G14" s="17" t="n">
        <f aca="false">E14+F14</f>
        <v>77175</v>
      </c>
    </row>
    <row r="15" customFormat="false" ht="19.5" hidden="false" customHeight="true" outlineLevel="0" collapsed="false">
      <c r="A15" s="18" t="s">
        <v>36</v>
      </c>
      <c r="B15" s="19"/>
      <c r="C15" s="19"/>
      <c r="D15" s="20" t="n">
        <f aca="false">SUM(D14:D14)</f>
        <v>7</v>
      </c>
      <c r="E15" s="20" t="n">
        <f aca="false">SUM(E14:E14)</f>
        <v>73500</v>
      </c>
      <c r="F15" s="20" t="n">
        <f aca="false">ROUND(E15*5%,2)</f>
        <v>3675</v>
      </c>
      <c r="G15" s="20" t="n">
        <f aca="false">E15+F15</f>
        <v>77175</v>
      </c>
    </row>
  </sheetData>
  <autoFilter ref="A1:V10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2026-09-08T12:32:53Z</dcterms:created>
  <dc:creator>openpyxl</dc:creator>
  <dc:description/>
  <dc:language>en-US</dc:language>
  <cp:lastModifiedBy>Admin</cp:lastModifiedBy>
  <dcterms:modified xsi:type="dcterms:W3CDTF">2026-09-10T07:44:46Z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