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<sst xmlns="http://schemas.openxmlformats.org/spreadsheetml/2006/main" count="60" uniqueCount="40">
  <si>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</si>
  <si>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</si>
  <si>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</si>
  <si>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</si>
  <si>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</si>
  <si>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</si>
  <si>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</si>
  <si>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</si>
  <si>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</si>
  <si>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</si>
  <si>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</si>
  <si>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</si>
  <si>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</si>
  <si>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</si>
  <si>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</si>
  <si>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</si>
  <si>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</si>
  <si>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</si>
  <si>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</si>
  <si>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</si>
  <si>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</si>
  <si>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</si>
  <si>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</si>
  <si>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</si>
  <si>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</si>
  <si>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8A3259</t>
  </si>
  <si>
    <t xml:space="preserve">4-F-W BDR</t>
  </si>
  <si>
    <t xml:space="preserve">GST 5 %</t>
  </si>
  <si>
    <t xml:space="preserve">Mtr</t>
  </si>
  <si>
    <t xml:space="preserve">Edit</t>
  </si>
  <si>
    <t xml:space="preserve">8A3260</t>
  </si>
  <si>
    <t xml:space="preserve">8A3261</t>
  </si>
  <si>
    <t xml:space="preserve">8A3262</t>
  </si>
  <si>
    <t xml:space="preserve">8A3263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</si>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</sst>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540710</v>
      </c>
      <c r="E3" s="3" t="s">
        <v>27</v>
      </c>
      <c r="F3" s="3" t="s">
        <v>28</v>
      </c>
      <c r="G3" s="4" t="n">
        <v>20</v>
      </c>
      <c r="H3" s="4" t="n">
        <v>5</v>
      </c>
      <c r="I3" s="4" t="n">
        <v>225</v>
      </c>
      <c r="J3" s="4" t="n">
        <v>0</v>
      </c>
      <c r="K3" s="4" t="n">
        <v>0</v>
      </c>
      <c r="L3" s="4" t="n">
        <v>225</v>
      </c>
      <c r="M3" s="4" t="n">
        <v>4500</v>
      </c>
      <c r="N3" s="4" t="n">
        <v>225</v>
      </c>
      <c r="O3" s="4" t="n">
        <v>0</v>
      </c>
      <c r="P3" s="4" t="n">
        <v>0</v>
      </c>
      <c r="Q3" s="4" t="n">
        <v>4725</v>
      </c>
      <c r="R3" s="4" t="n">
        <v>490</v>
      </c>
      <c r="S3" s="4" t="n">
        <v>258.75</v>
      </c>
      <c r="T3" s="4" t="n">
        <v>292.5</v>
      </c>
      <c r="U3" s="3"/>
      <c r="V3" s="3" t="s">
        <v>29</v>
      </c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n">
        <v>540710</v>
      </c>
      <c r="E4" s="3" t="s">
        <v>27</v>
      </c>
      <c r="F4" s="3" t="s">
        <v>28</v>
      </c>
      <c r="G4" s="4" t="n">
        <v>20</v>
      </c>
      <c r="H4" s="4" t="n">
        <v>5</v>
      </c>
      <c r="I4" s="4" t="n">
        <v>225</v>
      </c>
      <c r="J4" s="4" t="n">
        <v>0</v>
      </c>
      <c r="K4" s="4" t="n">
        <v>0</v>
      </c>
      <c r="L4" s="4" t="n">
        <v>225</v>
      </c>
      <c r="M4" s="4" t="n">
        <v>4500</v>
      </c>
      <c r="N4" s="4" t="n">
        <v>225</v>
      </c>
      <c r="O4" s="4" t="n">
        <v>0</v>
      </c>
      <c r="P4" s="4" t="n">
        <v>0</v>
      </c>
      <c r="Q4" s="4" t="n">
        <v>4725</v>
      </c>
      <c r="R4" s="4" t="n">
        <v>490</v>
      </c>
      <c r="S4" s="4" t="n">
        <v>258.75</v>
      </c>
      <c r="T4" s="4" t="n">
        <v>292.5</v>
      </c>
      <c r="U4" s="3"/>
      <c r="V4" s="3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n">
        <v>540710</v>
      </c>
      <c r="E5" s="3" t="s">
        <v>27</v>
      </c>
      <c r="F5" s="3" t="s">
        <v>28</v>
      </c>
      <c r="G5" s="4" t="n">
        <v>20</v>
      </c>
      <c r="H5" s="4" t="n">
        <v>5</v>
      </c>
      <c r="I5" s="4" t="n">
        <v>225</v>
      </c>
      <c r="J5" s="4" t="n">
        <v>0</v>
      </c>
      <c r="K5" s="4" t="n">
        <v>0</v>
      </c>
      <c r="L5" s="4" t="n">
        <v>225</v>
      </c>
      <c r="M5" s="4" t="n">
        <v>4500</v>
      </c>
      <c r="N5" s="4" t="n">
        <v>225</v>
      </c>
      <c r="O5" s="4" t="n">
        <v>0</v>
      </c>
      <c r="P5" s="4" t="n">
        <v>0</v>
      </c>
      <c r="Q5" s="4" t="n">
        <v>4725</v>
      </c>
      <c r="R5" s="4" t="n">
        <v>490</v>
      </c>
      <c r="S5" s="4" t="n">
        <v>258.75</v>
      </c>
      <c r="T5" s="4" t="n">
        <v>292.5</v>
      </c>
      <c r="U5" s="3"/>
      <c r="V5" s="3" t="s">
        <v>29</v>
      </c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n">
        <v>540710</v>
      </c>
      <c r="E6" s="3" t="s">
        <v>27</v>
      </c>
      <c r="F6" s="3" t="s">
        <v>28</v>
      </c>
      <c r="G6" s="4" t="n">
        <v>20</v>
      </c>
      <c r="H6" s="4" t="n">
        <v>5</v>
      </c>
      <c r="I6" s="4" t="n">
        <v>225</v>
      </c>
      <c r="J6" s="4" t="n">
        <v>0</v>
      </c>
      <c r="K6" s="4" t="n">
        <v>0</v>
      </c>
      <c r="L6" s="4" t="n">
        <v>225</v>
      </c>
      <c r="M6" s="4" t="n">
        <v>4500</v>
      </c>
      <c r="N6" s="4" t="n">
        <v>225</v>
      </c>
      <c r="O6" s="4" t="n">
        <v>0</v>
      </c>
      <c r="P6" s="4" t="n">
        <v>0</v>
      </c>
      <c r="Q6" s="4" t="n">
        <v>4725</v>
      </c>
      <c r="R6" s="4" t="n">
        <v>490</v>
      </c>
      <c r="S6" s="4" t="n">
        <v>258.75</v>
      </c>
      <c r="T6" s="4" t="n">
        <v>292.5</v>
      </c>
      <c r="U6" s="3"/>
      <c r="V6" s="3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n">
        <v>540710</v>
      </c>
      <c r="E7" s="3" t="s">
        <v>27</v>
      </c>
      <c r="F7" s="3" t="s">
        <v>28</v>
      </c>
      <c r="G7" s="4" t="n">
        <v>19.75</v>
      </c>
      <c r="H7" s="4" t="n">
        <v>5</v>
      </c>
      <c r="I7" s="4" t="n">
        <v>225</v>
      </c>
      <c r="J7" s="4" t="n">
        <v>0</v>
      </c>
      <c r="K7" s="4" t="n">
        <v>0</v>
      </c>
      <c r="L7" s="4" t="n">
        <v>225</v>
      </c>
      <c r="M7" s="4" t="n">
        <v>4443.75</v>
      </c>
      <c r="N7" s="4" t="n">
        <v>222.19</v>
      </c>
      <c r="O7" s="4" t="n">
        <v>0</v>
      </c>
      <c r="P7" s="4" t="n">
        <v>0</v>
      </c>
      <c r="Q7" s="4" t="n">
        <v>4665.94</v>
      </c>
      <c r="R7" s="4" t="n">
        <v>490</v>
      </c>
      <c r="S7" s="4" t="n">
        <v>258.75</v>
      </c>
      <c r="T7" s="4" t="n">
        <v>292.5</v>
      </c>
      <c r="U7" s="3"/>
      <c r="V7" s="3" t="s">
        <v>29</v>
      </c>
    </row>
    <row r="8" customFormat="false" ht="15" hidden="false" customHeight="true" outlineLevel="0" collapsed="false">
      <c r="A8" s="5" t="s">
        <v>34</v>
      </c>
      <c r="B8" s="5"/>
      <c r="C8" s="5"/>
      <c r="D8" s="5"/>
      <c r="E8" s="5"/>
      <c r="F8" s="5"/>
      <c r="G8" s="6" t="n">
        <f aca="false">SUM(G3:G7)</f>
        <v>99.75</v>
      </c>
      <c r="H8" s="6" t="n">
        <f aca="false">SUM(H3:H7)</f>
        <v>25</v>
      </c>
      <c r="I8" s="6" t="n">
        <f aca="false">AVERAGE(I3:I7)</f>
        <v>225</v>
      </c>
      <c r="J8" s="6" t="n">
        <f aca="false">SUM(J3:J7)</f>
        <v>0</v>
      </c>
      <c r="K8" s="6" t="n">
        <f aca="false">SUM(K3:K7)</f>
        <v>0</v>
      </c>
      <c r="L8" s="6" t="n">
        <f aca="false">AVERAGE(L3:L7)</f>
        <v>225</v>
      </c>
      <c r="M8" s="6" t="n">
        <f aca="false">SUM(M3:M7)</f>
        <v>22443.75</v>
      </c>
      <c r="N8" s="6" t="n">
        <f aca="false">SUM(N3:N7)</f>
        <v>1122.19</v>
      </c>
      <c r="O8" s="6" t="n">
        <f aca="false">SUM(O3:O7)</f>
        <v>0</v>
      </c>
      <c r="P8" s="6" t="n">
        <f aca="false">SUM(P3:P7)</f>
        <v>0</v>
      </c>
      <c r="Q8" s="6" t="n">
        <f aca="false">SUM(Q3:Q7)</f>
        <v>23565.94</v>
      </c>
      <c r="R8" s="6" t="n">
        <f aca="false">AVERAGE(R3:R7)</f>
        <v>490</v>
      </c>
      <c r="S8" s="6" t="n">
        <f aca="false">AVERAGE(S3:S7)</f>
        <v>258.75</v>
      </c>
      <c r="T8" s="6" t="n">
        <f aca="false">AVERAGE(T3:T7)</f>
        <v>292.5</v>
      </c>
      <c r="U8" s="7"/>
      <c r="V8" s="7"/>
    </row>
    <row r="10" customFormat="false" ht="21.75" hidden="false" customHeight="true" outlineLevel="0" collapsed="false">
      <c r="A10" s="8" t="s">
        <v>35</v>
      </c>
    </row>
    <row r="11" customFormat="false" ht="24" hidden="false" customHeight="true" outlineLevel="0" collapsed="false">
      <c r="A11" s="2" t="s">
        <v>0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8</v>
      </c>
      <c r="G11" s="2" t="s">
        <v>9</v>
      </c>
    </row>
    <row r="12" customFormat="false" ht="19.5" hidden="false" customHeight="true" outlineLevel="0" collapsed="false">
      <c r="A12" s="9" t="n">
        <v>1</v>
      </c>
      <c r="B12" s="9" t="n">
        <v>1</v>
      </c>
      <c r="C12" s="9" t="str">
        <f aca="false">C3</f>
        <v>4-F-W BDR</v>
      </c>
      <c r="D12" s="10" t="n">
        <f aca="false">SUM(G3:G7)</f>
        <v>99.75</v>
      </c>
      <c r="E12" s="10" t="n">
        <f aca="false">SUM(M3:M7)</f>
        <v>22443.75</v>
      </c>
      <c r="F12" s="10" t="n">
        <f aca="false">ROUND(E12*5%,2)</f>
        <v>1122.19</v>
      </c>
      <c r="G12" s="10" t="n">
        <f aca="false">E12+F12</f>
        <v>23565.94</v>
      </c>
    </row>
    <row r="13" customFormat="false" ht="19.5" hidden="false" customHeight="true" outlineLevel="0" collapsed="false">
      <c r="A13" s="11" t="s">
        <v>34</v>
      </c>
      <c r="B13" s="12"/>
      <c r="C13" s="12"/>
      <c r="D13" s="13" t="n">
        <f aca="false">SUM(D12:D12)</f>
        <v>99.75</v>
      </c>
      <c r="E13" s="13" t="n">
        <f aca="false">SUM(E12:E12)</f>
        <v>22443.75</v>
      </c>
      <c r="F13" s="13" t="n">
        <f aca="false">SUM(F12:F12)</f>
        <v>1122.19</v>
      </c>
      <c r="G13" s="13" t="n">
        <f aca="false">SUM(G12:G12)</f>
        <v>23565.94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2026-09-05T11:22:31Z</dcterms:created>
  <dc:creator>openpyxl</dc:creator>
  <dc:description/>
  <dc:language>en-US</dc:language>
  <cp:lastModifiedBy>Admin</cp:lastModifiedBy>
  <dcterms:modified xsi:type="dcterms:W3CDTF">2026-09-10T07:14:23Z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