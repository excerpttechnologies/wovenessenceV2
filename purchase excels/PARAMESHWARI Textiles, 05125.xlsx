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<sst xmlns="http://schemas.openxmlformats.org/spreadsheetml/2006/main" count="95" uniqueCount="48">
  <si>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</si>
  <si>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</si>
  <si>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</si>
  <si>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</si>
  <si>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</si>
  <si>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</si>
  <si>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</si>
  <si>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</si>
  <si>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</si>
  <si>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</si>
  <si>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</si>
  <si>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</si>
  <si>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</si>
  <si>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</si>
  <si>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</si>
  <si>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</si>
  <si>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</si>
  <si>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</si>
  <si>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</si>
  <si>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</si>
  <si>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</si>
  <si>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</si>
  <si>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</si>
  <si>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</si>
  <si>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</si>
  <si>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8A3168</t>
  </si>
  <si>
    <t xml:space="preserve">10-2*2BLK</t>
  </si>
  <si>
    <t xml:space="preserve">52082180</t>
  </si>
  <si>
    <t xml:space="preserve">GST 5 %</t>
  </si>
  <si>
    <t xml:space="preserve">Mtr</t>
  </si>
  <si>
    <t xml:space="preserve">8A3169</t>
  </si>
  <si>
    <t xml:space="preserve">8A3170</t>
  </si>
  <si>
    <t xml:space="preserve">8A3171</t>
  </si>
  <si>
    <t xml:space="preserve">8A3172</t>
  </si>
  <si>
    <t xml:space="preserve">8A3173</t>
  </si>
  <si>
    <t xml:space="preserve">8A3174</t>
  </si>
  <si>
    <t xml:space="preserve">8A3175</t>
  </si>
  <si>
    <t xml:space="preserve">8A3176</t>
  </si>
  <si>
    <t xml:space="preserve">8A3177</t>
  </si>
  <si>
    <t xml:space="preserve">10-2BY2</t>
  </si>
  <si>
    <t xml:space="preserve">8A3178</t>
  </si>
  <si>
    <t xml:space="preserve">8A3179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</si>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</sst>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1"/>
      <color rgb="FF1F497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20" min="10" style="0" width="15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15</v>
      </c>
      <c r="H3" s="2" t="n">
        <v>9</v>
      </c>
      <c r="I3" s="4" t="n">
        <v>114</v>
      </c>
      <c r="J3" s="4" t="n">
        <v>0</v>
      </c>
      <c r="K3" s="4" t="n">
        <v>0</v>
      </c>
      <c r="L3" s="4" t="n">
        <v>114</v>
      </c>
      <c r="M3" s="4" t="n">
        <v>1710</v>
      </c>
      <c r="N3" s="4" t="n">
        <v>0</v>
      </c>
      <c r="O3" s="4" t="n">
        <v>42.75</v>
      </c>
      <c r="P3" s="4" t="n">
        <v>42.75</v>
      </c>
      <c r="Q3" s="4" t="n">
        <v>1795.5</v>
      </c>
      <c r="R3" s="4" t="n">
        <v>220</v>
      </c>
      <c r="S3" s="4" t="n">
        <v>131.1</v>
      </c>
      <c r="T3" s="4" t="n">
        <v>148.2</v>
      </c>
      <c r="U3" s="2"/>
      <c r="V3" s="2"/>
    </row>
    <row r="4" customFormat="false" ht="15" hidden="false" customHeight="false" outlineLevel="0" collapsed="false">
      <c r="A4" s="2" t="n">
        <v>2</v>
      </c>
      <c r="B4" s="3" t="s">
        <v>30</v>
      </c>
      <c r="C4" s="3" t="s">
        <v>26</v>
      </c>
      <c r="D4" s="3" t="s">
        <v>27</v>
      </c>
      <c r="E4" s="2" t="s">
        <v>28</v>
      </c>
      <c r="F4" s="2" t="s">
        <v>29</v>
      </c>
      <c r="G4" s="4" t="n">
        <v>15</v>
      </c>
      <c r="H4" s="2" t="n">
        <v>9</v>
      </c>
      <c r="I4" s="4" t="n">
        <v>114</v>
      </c>
      <c r="J4" s="4" t="n">
        <v>0</v>
      </c>
      <c r="K4" s="4" t="n">
        <v>0</v>
      </c>
      <c r="L4" s="4" t="n">
        <v>114</v>
      </c>
      <c r="M4" s="4" t="n">
        <v>1710</v>
      </c>
      <c r="N4" s="4" t="n">
        <v>0</v>
      </c>
      <c r="O4" s="4" t="n">
        <v>42.75</v>
      </c>
      <c r="P4" s="4" t="n">
        <v>42.75</v>
      </c>
      <c r="Q4" s="4" t="n">
        <v>1795.5</v>
      </c>
      <c r="R4" s="4" t="n">
        <v>220</v>
      </c>
      <c r="S4" s="4" t="n">
        <v>131.1</v>
      </c>
      <c r="T4" s="4" t="n">
        <v>148.2</v>
      </c>
      <c r="U4" s="2"/>
      <c r="V4" s="2"/>
    </row>
    <row r="5" customFormat="false" ht="15" hidden="false" customHeight="false" outlineLevel="0" collapsed="false">
      <c r="A5" s="2" t="n">
        <v>3</v>
      </c>
      <c r="B5" s="3" t="s">
        <v>31</v>
      </c>
      <c r="C5" s="3" t="s">
        <v>26</v>
      </c>
      <c r="D5" s="3" t="s">
        <v>27</v>
      </c>
      <c r="E5" s="2" t="s">
        <v>28</v>
      </c>
      <c r="F5" s="2" t="s">
        <v>29</v>
      </c>
      <c r="G5" s="4" t="n">
        <v>15</v>
      </c>
      <c r="H5" s="2" t="n">
        <v>9</v>
      </c>
      <c r="I5" s="4" t="n">
        <v>114</v>
      </c>
      <c r="J5" s="4" t="n">
        <v>0</v>
      </c>
      <c r="K5" s="4" t="n">
        <v>0</v>
      </c>
      <c r="L5" s="4" t="n">
        <v>114</v>
      </c>
      <c r="M5" s="4" t="n">
        <v>1710</v>
      </c>
      <c r="N5" s="4" t="n">
        <v>0</v>
      </c>
      <c r="O5" s="4" t="n">
        <v>42.75</v>
      </c>
      <c r="P5" s="4" t="n">
        <v>42.75</v>
      </c>
      <c r="Q5" s="4" t="n">
        <v>1795.5</v>
      </c>
      <c r="R5" s="4" t="n">
        <v>220</v>
      </c>
      <c r="S5" s="4" t="n">
        <v>131.1</v>
      </c>
      <c r="T5" s="4" t="n">
        <v>148.2</v>
      </c>
      <c r="U5" s="2"/>
      <c r="V5" s="2"/>
    </row>
    <row r="6" customFormat="false" ht="15" hidden="false" customHeight="false" outlineLevel="0" collapsed="false">
      <c r="A6" s="2" t="n">
        <v>4</v>
      </c>
      <c r="B6" s="3" t="s">
        <v>32</v>
      </c>
      <c r="C6" s="3" t="s">
        <v>26</v>
      </c>
      <c r="D6" s="3" t="s">
        <v>27</v>
      </c>
      <c r="E6" s="2" t="s">
        <v>28</v>
      </c>
      <c r="F6" s="2" t="s">
        <v>29</v>
      </c>
      <c r="G6" s="4" t="n">
        <v>15</v>
      </c>
      <c r="H6" s="2" t="n">
        <v>9</v>
      </c>
      <c r="I6" s="4" t="n">
        <v>114</v>
      </c>
      <c r="J6" s="4" t="n">
        <v>0</v>
      </c>
      <c r="K6" s="4" t="n">
        <v>0</v>
      </c>
      <c r="L6" s="4" t="n">
        <v>114</v>
      </c>
      <c r="M6" s="4" t="n">
        <v>1710</v>
      </c>
      <c r="N6" s="4" t="n">
        <v>0</v>
      </c>
      <c r="O6" s="4" t="n">
        <v>42.75</v>
      </c>
      <c r="P6" s="4" t="n">
        <v>42.75</v>
      </c>
      <c r="Q6" s="4" t="n">
        <v>1795.5</v>
      </c>
      <c r="R6" s="4" t="n">
        <v>220</v>
      </c>
      <c r="S6" s="4" t="n">
        <v>131.1</v>
      </c>
      <c r="T6" s="4" t="n">
        <v>148.2</v>
      </c>
      <c r="U6" s="2"/>
      <c r="V6" s="2"/>
    </row>
    <row r="7" customFormat="false" ht="15" hidden="false" customHeight="false" outlineLevel="0" collapsed="false">
      <c r="A7" s="2" t="n">
        <v>5</v>
      </c>
      <c r="B7" s="3" t="s">
        <v>33</v>
      </c>
      <c r="C7" s="3" t="s">
        <v>26</v>
      </c>
      <c r="D7" s="3" t="s">
        <v>27</v>
      </c>
      <c r="E7" s="2" t="s">
        <v>28</v>
      </c>
      <c r="F7" s="2" t="s">
        <v>29</v>
      </c>
      <c r="G7" s="4" t="n">
        <v>15</v>
      </c>
      <c r="H7" s="2" t="n">
        <v>9</v>
      </c>
      <c r="I7" s="4" t="n">
        <v>114</v>
      </c>
      <c r="J7" s="4" t="n">
        <v>0</v>
      </c>
      <c r="K7" s="4" t="n">
        <v>0</v>
      </c>
      <c r="L7" s="4" t="n">
        <v>114</v>
      </c>
      <c r="M7" s="4" t="n">
        <v>1710</v>
      </c>
      <c r="N7" s="4" t="n">
        <v>0</v>
      </c>
      <c r="O7" s="4" t="n">
        <v>42.75</v>
      </c>
      <c r="P7" s="4" t="n">
        <v>42.75</v>
      </c>
      <c r="Q7" s="4" t="n">
        <v>1795.5</v>
      </c>
      <c r="R7" s="4" t="n">
        <v>220</v>
      </c>
      <c r="S7" s="4" t="n">
        <v>131.1</v>
      </c>
      <c r="T7" s="4" t="n">
        <v>148.2</v>
      </c>
      <c r="U7" s="2"/>
      <c r="V7" s="2"/>
    </row>
    <row r="8" customFormat="false" ht="15" hidden="false" customHeight="false" outlineLevel="0" collapsed="false">
      <c r="A8" s="2" t="n">
        <v>6</v>
      </c>
      <c r="B8" s="3" t="s">
        <v>34</v>
      </c>
      <c r="C8" s="3" t="s">
        <v>26</v>
      </c>
      <c r="D8" s="3" t="s">
        <v>27</v>
      </c>
      <c r="E8" s="2" t="s">
        <v>28</v>
      </c>
      <c r="F8" s="2" t="s">
        <v>29</v>
      </c>
      <c r="G8" s="4" t="n">
        <v>15</v>
      </c>
      <c r="H8" s="2" t="n">
        <v>9</v>
      </c>
      <c r="I8" s="4" t="n">
        <v>114</v>
      </c>
      <c r="J8" s="4" t="n">
        <v>0</v>
      </c>
      <c r="K8" s="4" t="n">
        <v>0</v>
      </c>
      <c r="L8" s="4" t="n">
        <v>114</v>
      </c>
      <c r="M8" s="4" t="n">
        <v>1710</v>
      </c>
      <c r="N8" s="4" t="n">
        <v>0</v>
      </c>
      <c r="O8" s="4" t="n">
        <v>42.75</v>
      </c>
      <c r="P8" s="4" t="n">
        <v>42.75</v>
      </c>
      <c r="Q8" s="4" t="n">
        <v>1795.5</v>
      </c>
      <c r="R8" s="4" t="n">
        <v>220</v>
      </c>
      <c r="S8" s="4" t="n">
        <v>131.1</v>
      </c>
      <c r="T8" s="4" t="n">
        <v>148.2</v>
      </c>
      <c r="U8" s="2"/>
      <c r="V8" s="2"/>
    </row>
    <row r="9" customFormat="false" ht="15" hidden="false" customHeight="false" outlineLevel="0" collapsed="false">
      <c r="A9" s="2" t="n">
        <v>7</v>
      </c>
      <c r="B9" s="3" t="s">
        <v>35</v>
      </c>
      <c r="C9" s="3" t="s">
        <v>26</v>
      </c>
      <c r="D9" s="3" t="s">
        <v>27</v>
      </c>
      <c r="E9" s="2" t="s">
        <v>28</v>
      </c>
      <c r="F9" s="2" t="s">
        <v>29</v>
      </c>
      <c r="G9" s="4" t="n">
        <v>15</v>
      </c>
      <c r="H9" s="2" t="n">
        <v>9</v>
      </c>
      <c r="I9" s="4" t="n">
        <v>114</v>
      </c>
      <c r="J9" s="4" t="n">
        <v>0</v>
      </c>
      <c r="K9" s="4" t="n">
        <v>0</v>
      </c>
      <c r="L9" s="4" t="n">
        <v>114</v>
      </c>
      <c r="M9" s="4" t="n">
        <v>1710</v>
      </c>
      <c r="N9" s="4" t="n">
        <v>0</v>
      </c>
      <c r="O9" s="4" t="n">
        <v>42.75</v>
      </c>
      <c r="P9" s="4" t="n">
        <v>42.75</v>
      </c>
      <c r="Q9" s="4" t="n">
        <v>1795.5</v>
      </c>
      <c r="R9" s="4" t="n">
        <v>220</v>
      </c>
      <c r="S9" s="4" t="n">
        <v>131.1</v>
      </c>
      <c r="T9" s="4" t="n">
        <v>148.2</v>
      </c>
      <c r="U9" s="2"/>
      <c r="V9" s="2"/>
    </row>
    <row r="10" customFormat="false" ht="15" hidden="false" customHeight="false" outlineLevel="0" collapsed="false">
      <c r="A10" s="2" t="n">
        <v>8</v>
      </c>
      <c r="B10" s="3" t="s">
        <v>36</v>
      </c>
      <c r="C10" s="3" t="s">
        <v>26</v>
      </c>
      <c r="D10" s="3" t="s">
        <v>27</v>
      </c>
      <c r="E10" s="2" t="s">
        <v>28</v>
      </c>
      <c r="F10" s="2" t="s">
        <v>29</v>
      </c>
      <c r="G10" s="4" t="n">
        <v>14</v>
      </c>
      <c r="H10" s="2" t="n">
        <v>9</v>
      </c>
      <c r="I10" s="4" t="n">
        <v>114</v>
      </c>
      <c r="J10" s="4" t="n">
        <v>0</v>
      </c>
      <c r="K10" s="4" t="n">
        <v>0</v>
      </c>
      <c r="L10" s="4" t="n">
        <v>114</v>
      </c>
      <c r="M10" s="4" t="n">
        <v>1596</v>
      </c>
      <c r="N10" s="4" t="n">
        <v>0</v>
      </c>
      <c r="O10" s="4" t="n">
        <v>39.9</v>
      </c>
      <c r="P10" s="4" t="n">
        <v>39.9</v>
      </c>
      <c r="Q10" s="4" t="n">
        <v>1675.8</v>
      </c>
      <c r="R10" s="4" t="n">
        <v>220</v>
      </c>
      <c r="S10" s="4" t="n">
        <v>131.1</v>
      </c>
      <c r="T10" s="4" t="n">
        <v>148.2</v>
      </c>
      <c r="U10" s="2"/>
      <c r="V10" s="2"/>
    </row>
    <row r="11" customFormat="false" ht="15" hidden="false" customHeight="false" outlineLevel="0" collapsed="false">
      <c r="A11" s="2" t="n">
        <v>9</v>
      </c>
      <c r="B11" s="3" t="s">
        <v>37</v>
      </c>
      <c r="C11" s="3" t="s">
        <v>26</v>
      </c>
      <c r="D11" s="3" t="s">
        <v>27</v>
      </c>
      <c r="E11" s="2" t="s">
        <v>28</v>
      </c>
      <c r="F11" s="2" t="s">
        <v>29</v>
      </c>
      <c r="G11" s="4" t="n">
        <v>1</v>
      </c>
      <c r="H11" s="2" t="n">
        <v>9</v>
      </c>
      <c r="I11" s="4" t="n">
        <v>114</v>
      </c>
      <c r="J11" s="4" t="n">
        <v>0</v>
      </c>
      <c r="K11" s="4" t="n">
        <v>0</v>
      </c>
      <c r="L11" s="4" t="n">
        <v>114</v>
      </c>
      <c r="M11" s="4" t="n">
        <v>114</v>
      </c>
      <c r="N11" s="4" t="n">
        <v>0</v>
      </c>
      <c r="O11" s="4" t="n">
        <v>2.85</v>
      </c>
      <c r="P11" s="4" t="n">
        <v>2.85</v>
      </c>
      <c r="Q11" s="4" t="n">
        <v>119.7</v>
      </c>
      <c r="R11" s="4" t="n">
        <v>220</v>
      </c>
      <c r="S11" s="4" t="n">
        <v>131.1</v>
      </c>
      <c r="T11" s="4" t="n">
        <v>148.2</v>
      </c>
      <c r="U11" s="2"/>
      <c r="V11" s="2"/>
    </row>
    <row r="12" customFormat="false" ht="15" hidden="false" customHeight="false" outlineLevel="0" collapsed="false">
      <c r="A12" s="2" t="n">
        <v>10</v>
      </c>
      <c r="B12" s="3" t="s">
        <v>38</v>
      </c>
      <c r="C12" s="3" t="s">
        <v>39</v>
      </c>
      <c r="D12" s="3" t="s">
        <v>27</v>
      </c>
      <c r="E12" s="2" t="s">
        <v>28</v>
      </c>
      <c r="F12" s="2" t="s">
        <v>29</v>
      </c>
      <c r="G12" s="4" t="n">
        <v>20</v>
      </c>
      <c r="H12" s="2" t="n">
        <v>3</v>
      </c>
      <c r="I12" s="4" t="n">
        <v>114</v>
      </c>
      <c r="J12" s="4" t="n">
        <v>0</v>
      </c>
      <c r="K12" s="4" t="n">
        <v>0</v>
      </c>
      <c r="L12" s="4" t="n">
        <v>114</v>
      </c>
      <c r="M12" s="4" t="n">
        <v>2280</v>
      </c>
      <c r="N12" s="4" t="n">
        <v>0</v>
      </c>
      <c r="O12" s="4" t="n">
        <v>57</v>
      </c>
      <c r="P12" s="4" t="n">
        <v>57</v>
      </c>
      <c r="Q12" s="4" t="n">
        <v>2394</v>
      </c>
      <c r="R12" s="4" t="n">
        <v>220</v>
      </c>
      <c r="S12" s="4" t="n">
        <v>131.1</v>
      </c>
      <c r="T12" s="4" t="n">
        <v>148.2</v>
      </c>
      <c r="U12" s="2"/>
      <c r="V12" s="2"/>
    </row>
    <row r="13" customFormat="false" ht="15" hidden="false" customHeight="false" outlineLevel="0" collapsed="false">
      <c r="A13" s="2" t="n">
        <v>11</v>
      </c>
      <c r="B13" s="3" t="s">
        <v>40</v>
      </c>
      <c r="C13" s="3" t="s">
        <v>39</v>
      </c>
      <c r="D13" s="3" t="s">
        <v>27</v>
      </c>
      <c r="E13" s="2" t="s">
        <v>28</v>
      </c>
      <c r="F13" s="2" t="s">
        <v>29</v>
      </c>
      <c r="G13" s="4" t="n">
        <v>20</v>
      </c>
      <c r="H13" s="2" t="n">
        <v>3</v>
      </c>
      <c r="I13" s="4" t="n">
        <v>114</v>
      </c>
      <c r="J13" s="4" t="n">
        <v>0</v>
      </c>
      <c r="K13" s="4" t="n">
        <v>0</v>
      </c>
      <c r="L13" s="4" t="n">
        <v>114</v>
      </c>
      <c r="M13" s="4" t="n">
        <v>2280</v>
      </c>
      <c r="N13" s="4" t="n">
        <v>0</v>
      </c>
      <c r="O13" s="4" t="n">
        <v>57</v>
      </c>
      <c r="P13" s="4" t="n">
        <v>57</v>
      </c>
      <c r="Q13" s="4" t="n">
        <v>2394</v>
      </c>
      <c r="R13" s="4" t="n">
        <v>220</v>
      </c>
      <c r="S13" s="4" t="n">
        <v>131.1</v>
      </c>
      <c r="T13" s="4" t="n">
        <v>148.2</v>
      </c>
      <c r="U13" s="2"/>
      <c r="V13" s="2"/>
    </row>
    <row r="14" customFormat="false" ht="15" hidden="false" customHeight="false" outlineLevel="0" collapsed="false">
      <c r="A14" s="2" t="n">
        <v>12</v>
      </c>
      <c r="B14" s="3" t="s">
        <v>41</v>
      </c>
      <c r="C14" s="3" t="s">
        <v>39</v>
      </c>
      <c r="D14" s="3" t="s">
        <v>27</v>
      </c>
      <c r="E14" s="2" t="s">
        <v>28</v>
      </c>
      <c r="F14" s="2" t="s">
        <v>29</v>
      </c>
      <c r="G14" s="4" t="n">
        <v>20</v>
      </c>
      <c r="H14" s="2" t="n">
        <v>3</v>
      </c>
      <c r="I14" s="4" t="n">
        <v>114</v>
      </c>
      <c r="J14" s="4" t="n">
        <v>0</v>
      </c>
      <c r="K14" s="4" t="n">
        <v>0</v>
      </c>
      <c r="L14" s="4" t="n">
        <v>114</v>
      </c>
      <c r="M14" s="4" t="n">
        <v>2280</v>
      </c>
      <c r="N14" s="4" t="n">
        <v>0</v>
      </c>
      <c r="O14" s="4" t="n">
        <v>57</v>
      </c>
      <c r="P14" s="4" t="n">
        <v>57</v>
      </c>
      <c r="Q14" s="4" t="n">
        <v>2394</v>
      </c>
      <c r="R14" s="4" t="n">
        <v>220</v>
      </c>
      <c r="S14" s="4" t="n">
        <v>131.1</v>
      </c>
      <c r="T14" s="4" t="n">
        <v>148.2</v>
      </c>
      <c r="U14" s="2"/>
      <c r="V14" s="2"/>
    </row>
    <row r="15" customFormat="false" ht="15" hidden="false" customHeight="false" outlineLevel="0" collapsed="false">
      <c r="A15" s="5" t="s">
        <v>42</v>
      </c>
      <c r="B15" s="6"/>
      <c r="C15" s="6"/>
      <c r="D15" s="6"/>
      <c r="E15" s="6"/>
      <c r="F15" s="6"/>
      <c r="G15" s="7" t="n">
        <f aca="false">SUM(G3:G14)</f>
        <v>180</v>
      </c>
      <c r="H15" s="7" t="n">
        <f aca="false">SUM(H3:H14)</f>
        <v>90</v>
      </c>
      <c r="I15" s="7" t="n">
        <f aca="false">SUM(I3:I14)</f>
        <v>1368</v>
      </c>
      <c r="J15" s="7" t="n">
        <f aca="false">SUM(J3:J14)</f>
        <v>0</v>
      </c>
      <c r="K15" s="7" t="n">
        <f aca="false">SUM(K3:K14)</f>
        <v>0</v>
      </c>
      <c r="L15" s="7" t="n">
        <f aca="false">SUM(L3:L14)</f>
        <v>1368</v>
      </c>
      <c r="M15" s="7" t="n">
        <f aca="false">SUM(M3:M14)</f>
        <v>20520</v>
      </c>
      <c r="N15" s="7" t="n">
        <f aca="false">SUM(N3:N14)</f>
        <v>0</v>
      </c>
      <c r="O15" s="7" t="n">
        <f aca="false">SUM(O3:O14)</f>
        <v>513</v>
      </c>
      <c r="P15" s="7" t="n">
        <f aca="false">SUM(P3:P14)</f>
        <v>513</v>
      </c>
      <c r="Q15" s="7" t="n">
        <f aca="false">SUM(Q3:Q14)</f>
        <v>21546</v>
      </c>
      <c r="R15" s="7" t="n">
        <f aca="false">SUM(R3:R14)</f>
        <v>2640</v>
      </c>
      <c r="S15" s="7" t="n">
        <f aca="false">SUM(S3:S14)</f>
        <v>1573.2</v>
      </c>
      <c r="T15" s="7" t="n">
        <f aca="false">SUM(T3:T14)</f>
        <v>1778.4</v>
      </c>
      <c r="U15" s="6"/>
      <c r="V15" s="6"/>
    </row>
    <row r="17" customFormat="false" ht="18" hidden="false" customHeight="true" outlineLevel="0" collapsed="false">
      <c r="A17" s="8" t="s">
        <v>43</v>
      </c>
    </row>
    <row r="18" customFormat="false" ht="19.5" hidden="false" customHeight="true" outlineLevel="0" collapsed="false">
      <c r="A18" s="9" t="s">
        <v>0</v>
      </c>
      <c r="B18" s="9" t="s">
        <v>44</v>
      </c>
      <c r="C18" s="9" t="s">
        <v>45</v>
      </c>
      <c r="D18" s="9" t="s">
        <v>46</v>
      </c>
      <c r="E18" s="9" t="s">
        <v>47</v>
      </c>
      <c r="F18" s="9" t="s">
        <v>8</v>
      </c>
      <c r="G18" s="9" t="s">
        <v>9</v>
      </c>
    </row>
    <row r="19" customFormat="false" ht="15.75" hidden="false" customHeight="true" outlineLevel="0" collapsed="false">
      <c r="A19" s="2" t="n">
        <v>1</v>
      </c>
      <c r="B19" s="2" t="n">
        <v>1</v>
      </c>
      <c r="C19" s="2" t="str">
        <f aca="false">C3</f>
        <v>10-2*2BLK</v>
      </c>
      <c r="D19" s="10" t="n">
        <f aca="false">SUM(G3:G11)</f>
        <v>120</v>
      </c>
      <c r="E19" s="10" t="n">
        <f aca="false">SUM(M3:M11)</f>
        <v>13680</v>
      </c>
      <c r="F19" s="10" t="n">
        <f aca="false">ROUND(E19*5%,2)</f>
        <v>684</v>
      </c>
      <c r="G19" s="10" t="n">
        <f aca="false">E19+F19</f>
        <v>14364</v>
      </c>
    </row>
    <row r="20" customFormat="false" ht="15.75" hidden="false" customHeight="true" outlineLevel="0" collapsed="false">
      <c r="A20" s="2" t="n">
        <v>2</v>
      </c>
      <c r="B20" s="2" t="n">
        <v>2</v>
      </c>
      <c r="C20" s="2" t="str">
        <f aca="false">C12</f>
        <v>10-2BY2</v>
      </c>
      <c r="D20" s="10" t="n">
        <f aca="false">SUM(G12:G14)</f>
        <v>60</v>
      </c>
      <c r="E20" s="10" t="n">
        <f aca="false">SUM(M12:M14)</f>
        <v>6840</v>
      </c>
      <c r="F20" s="10" t="n">
        <f aca="false">ROUND(E20*5%,2)</f>
        <v>342</v>
      </c>
      <c r="G20" s="10" t="n">
        <f aca="false">E20+F20</f>
        <v>7182</v>
      </c>
    </row>
    <row r="21" customFormat="false" ht="15.75" hidden="false" customHeight="true" outlineLevel="0" collapsed="false">
      <c r="A21" s="5" t="s">
        <v>42</v>
      </c>
      <c r="B21" s="5"/>
      <c r="C21" s="5"/>
      <c r="D21" s="11" t="n">
        <f aca="false">SUM(D19:D20)</f>
        <v>180</v>
      </c>
      <c r="E21" s="11" t="n">
        <f aca="false">SUM(E19:E20)</f>
        <v>20520</v>
      </c>
      <c r="F21" s="11" t="n">
        <f aca="false">SUM(F19:F20)</f>
        <v>1026</v>
      </c>
      <c r="G21" s="11" t="n">
        <f aca="false">SUM(G19:G20)</f>
        <v>21546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2026-09-09T04:34:56Z</dcterms:created>
  <dc:creator>openpyxl</dc:creator>
  <dc:description/>
  <dc:language>en-US</dc:language>
  <cp:lastModifiedBy/>
  <dcterms:modified xsi:type="dcterms:W3CDTF">2026-09-10T10:45:10Z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