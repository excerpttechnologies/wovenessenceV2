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ory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1" authorId="0">
      <text>
        <r>
          <rPr>
            <sz val="10"/>
            <rFont val="Arial"/>
            <family val="2"/>
          </rPr>
          <t xml:space="preserve">GST @ 5% (IGST) on bill-wise Before GST Amount, rounded to 2 decimals.</t>
        </r>
      </text>
    </comment>
  </commentList>
</comments>
</file>

<file path=xl/sharedStrings.xml><?xml version="1.0" encoding="utf-8"?>
<sst xmlns="http://schemas.openxmlformats.org/spreadsheetml/2006/main" count="53" uniqueCount="37">
  <si>
    <t xml:space="preserve">Sl No</t>
  </si>
  <si>
    <t xml:space="preserve">Item</t>
  </si>
  <si>
    <t xml:space="preserve">QTY/MTR</t>
  </si>
  <si>
    <t xml:space="preserve">No. of Cuts</t>
  </si>
  <si>
    <t xml:space="preserve">Purchase Rate</t>
  </si>
  <si>
    <t xml:space="preserve">Discount</t>
  </si>
  <si>
    <t xml:space="preserve">Final Rate</t>
  </si>
  <si>
    <t xml:space="preserve">Before Tax</t>
  </si>
  <si>
    <t xml:space="preserve">GST Amount</t>
  </si>
  <si>
    <t xml:space="preserve">Net Amount</t>
  </si>
  <si>
    <t xml:space="preserve">RSP</t>
  </si>
  <si>
    <t xml:space="preserve">WSP</t>
  </si>
  <si>
    <t xml:space="preserve">DP</t>
  </si>
  <si>
    <t xml:space="preserve">Code</t>
  </si>
  <si>
    <t xml:space="preserve">Name</t>
  </si>
  <si>
    <t xml:space="preserve">HSN</t>
  </si>
  <si>
    <t xml:space="preserve">GST Slab</t>
  </si>
  <si>
    <t xml:space="preserve">UOM</t>
  </si>
  <si>
    <t xml:space="preserve">%</t>
  </si>
  <si>
    <t xml:space="preserve">R.Off</t>
  </si>
  <si>
    <t xml:space="preserve">IGST</t>
  </si>
  <si>
    <t xml:space="preserve">CGST</t>
  </si>
  <si>
    <t xml:space="preserve">SGST</t>
  </si>
  <si>
    <t xml:space="preserve">8A2877</t>
  </si>
  <si>
    <t xml:space="preserve">4-FA</t>
  </si>
  <si>
    <t xml:space="preserve">520811</t>
  </si>
  <si>
    <t xml:space="preserve">GST 5 %</t>
  </si>
  <si>
    <t xml:space="preserve">Mtr</t>
  </si>
  <si>
    <t xml:space="preserve">8A2878</t>
  </si>
  <si>
    <t xml:space="preserve">8A2879</t>
  </si>
  <si>
    <t xml:space="preserve">8A2880</t>
  </si>
  <si>
    <t xml:space="preserve">Total</t>
  </si>
  <si>
    <t xml:space="preserve">Item Summary</t>
  </si>
  <si>
    <t xml:space="preserve">Bill Sl No</t>
  </si>
  <si>
    <t xml:space="preserve">Item Name</t>
  </si>
  <si>
    <t xml:space="preserve">QTY</t>
  </si>
  <si>
    <t xml:space="preserve">Before GST Amount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</si>
</sst>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\₹#,##0.00"/>
    <numFmt numFmtId="167" formatCode="0.00%"/>
    <numFmt numFmtId="168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2"/>
      <color rgb="FF366092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9"/>
      </patternFill>
    </fill>
    <fill>
      <patternFill patternType="solid">
        <fgColor rgb="FF366092"/>
        <bgColor rgb="FF1F4E79"/>
      </patternFill>
    </fill>
    <fill>
      <patternFill patternType="solid">
        <fgColor rgb="FFF9FAFB"/>
        <bgColor rgb="FFFFFFFF"/>
      </patternFill>
    </fill>
    <fill>
      <patternFill patternType="solid">
        <fgColor rgb="FFFFFFFF"/>
        <bgColor rgb="FFF9FAFB"/>
      </patternFill>
    </fill>
    <fill>
      <patternFill patternType="solid">
        <fgColor rgb="FFE9EEF4"/>
        <bgColor rgb="FFF9FAFB"/>
      </patternFill>
    </fill>
    <fill>
      <patternFill patternType="solid">
        <fgColor rgb="FFD9E1F2"/>
        <bgColor rgb="FFD9D9D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1F4E79"/>
      </top>
      <bottom style="double">
        <color rgb="FF1F4E7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AFB"/>
      <rgbColor rgb="FFE9EE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1F4E78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8" min="7" style="0" width="15"/>
    <col collapsed="false" customWidth="true" hidden="false" outlineLevel="0" max="9" min="9" style="0" width="17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17"/>
    <col collapsed="false" customWidth="true" hidden="false" outlineLevel="0" max="14" min="13" style="0" width="15"/>
    <col collapsed="false" customWidth="true" hidden="false" outlineLevel="0" max="16" min="15" style="0" width="12"/>
    <col collapsed="false" customWidth="true" hidden="false" outlineLevel="0" max="17" min="17" style="0" width="16"/>
    <col collapsed="false" customWidth="true" hidden="false" outlineLevel="0" max="20" min="18" style="0" width="12"/>
  </cols>
  <sheetData>
    <row r="1" customFormat="false" ht="19.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</row>
    <row r="2" customFormat="false" ht="19.5" hidden="false" customHeight="true" outlineLevel="0" collapsed="false">
      <c r="A2" s="1"/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1"/>
      <c r="H2" s="1"/>
      <c r="I2" s="1"/>
      <c r="J2" s="1" t="s">
        <v>18</v>
      </c>
      <c r="K2" s="1" t="s">
        <v>19</v>
      </c>
      <c r="L2" s="1"/>
      <c r="M2" s="1"/>
      <c r="N2" s="1" t="s">
        <v>20</v>
      </c>
      <c r="O2" s="1" t="s">
        <v>21</v>
      </c>
      <c r="P2" s="1" t="s">
        <v>22</v>
      </c>
      <c r="Q2" s="1"/>
      <c r="R2" s="1"/>
      <c r="S2" s="1"/>
      <c r="T2" s="1"/>
    </row>
    <row r="3" customFormat="false" ht="19.5" hidden="false" customHeight="true" outlineLevel="0" collapsed="false">
      <c r="A3" s="3" t="n">
        <v>1</v>
      </c>
      <c r="B3" s="3" t="s">
        <v>23</v>
      </c>
      <c r="C3" s="4" t="s">
        <v>24</v>
      </c>
      <c r="D3" s="3" t="s">
        <v>25</v>
      </c>
      <c r="E3" s="3" t="s">
        <v>26</v>
      </c>
      <c r="F3" s="3" t="s">
        <v>27</v>
      </c>
      <c r="G3" s="5" t="n">
        <v>10</v>
      </c>
      <c r="H3" s="3" t="n">
        <v>4</v>
      </c>
      <c r="I3" s="6" t="n">
        <v>285</v>
      </c>
      <c r="J3" s="7" t="n">
        <v>0</v>
      </c>
      <c r="K3" s="6" t="n">
        <v>0</v>
      </c>
      <c r="L3" s="6" t="n">
        <f aca="false">I3*(1-J3)-K3</f>
        <v>285</v>
      </c>
      <c r="M3" s="6" t="n">
        <f aca="false">G3*L3</f>
        <v>2850</v>
      </c>
      <c r="N3" s="6" t="n">
        <v>142.5</v>
      </c>
      <c r="O3" s="6" t="n">
        <v>0</v>
      </c>
      <c r="P3" s="6" t="n">
        <v>0</v>
      </c>
      <c r="Q3" s="6" t="n">
        <f aca="false">M3+N3+O3+P3</f>
        <v>2992.5</v>
      </c>
      <c r="R3" s="6" t="n">
        <v>590</v>
      </c>
      <c r="S3" s="6" t="n">
        <v>327.75</v>
      </c>
      <c r="T3" s="6" t="n">
        <v>370.5</v>
      </c>
    </row>
    <row r="4" customFormat="false" ht="19.5" hidden="false" customHeight="true" outlineLevel="0" collapsed="false">
      <c r="A4" s="8" t="n">
        <v>2</v>
      </c>
      <c r="B4" s="8" t="s">
        <v>28</v>
      </c>
      <c r="C4" s="9" t="s">
        <v>24</v>
      </c>
      <c r="D4" s="8" t="s">
        <v>25</v>
      </c>
      <c r="E4" s="8" t="s">
        <v>26</v>
      </c>
      <c r="F4" s="8" t="s">
        <v>27</v>
      </c>
      <c r="G4" s="10" t="n">
        <v>10</v>
      </c>
      <c r="H4" s="8" t="n">
        <v>4</v>
      </c>
      <c r="I4" s="11" t="n">
        <v>285</v>
      </c>
      <c r="J4" s="12" t="n">
        <v>0</v>
      </c>
      <c r="K4" s="11" t="n">
        <v>0</v>
      </c>
      <c r="L4" s="11" t="n">
        <f aca="false">I4*(1-J4)-K4</f>
        <v>285</v>
      </c>
      <c r="M4" s="11" t="n">
        <f aca="false">G4*L4</f>
        <v>2850</v>
      </c>
      <c r="N4" s="11" t="n">
        <v>142.5</v>
      </c>
      <c r="O4" s="11" t="n">
        <v>0</v>
      </c>
      <c r="P4" s="11" t="n">
        <v>0</v>
      </c>
      <c r="Q4" s="11" t="n">
        <f aca="false">M4+N4+O4+P4</f>
        <v>2992.5</v>
      </c>
      <c r="R4" s="11" t="n">
        <v>590</v>
      </c>
      <c r="S4" s="11" t="n">
        <v>327.75</v>
      </c>
      <c r="T4" s="11" t="n">
        <v>370.5</v>
      </c>
    </row>
    <row r="5" customFormat="false" ht="19.5" hidden="false" customHeight="true" outlineLevel="0" collapsed="false">
      <c r="A5" s="3" t="n">
        <v>3</v>
      </c>
      <c r="B5" s="3" t="s">
        <v>29</v>
      </c>
      <c r="C5" s="4" t="s">
        <v>24</v>
      </c>
      <c r="D5" s="3" t="s">
        <v>25</v>
      </c>
      <c r="E5" s="3" t="s">
        <v>26</v>
      </c>
      <c r="F5" s="3" t="s">
        <v>27</v>
      </c>
      <c r="G5" s="5" t="n">
        <v>10</v>
      </c>
      <c r="H5" s="3" t="n">
        <v>4</v>
      </c>
      <c r="I5" s="6" t="n">
        <v>285</v>
      </c>
      <c r="J5" s="7" t="n">
        <v>0</v>
      </c>
      <c r="K5" s="6" t="n">
        <v>0</v>
      </c>
      <c r="L5" s="6" t="n">
        <f aca="false">I5*(1-J5)-K5</f>
        <v>285</v>
      </c>
      <c r="M5" s="6" t="n">
        <f aca="false">G5*L5</f>
        <v>2850</v>
      </c>
      <c r="N5" s="6" t="n">
        <v>142.5</v>
      </c>
      <c r="O5" s="6" t="n">
        <v>0</v>
      </c>
      <c r="P5" s="6" t="n">
        <v>0</v>
      </c>
      <c r="Q5" s="6" t="n">
        <f aca="false">M5+N5+O5+P5</f>
        <v>2992.5</v>
      </c>
      <c r="R5" s="6" t="n">
        <v>590</v>
      </c>
      <c r="S5" s="6" t="n">
        <v>327.75</v>
      </c>
      <c r="T5" s="6" t="n">
        <v>370.5</v>
      </c>
    </row>
    <row r="6" customFormat="false" ht="19.5" hidden="false" customHeight="true" outlineLevel="0" collapsed="false">
      <c r="A6" s="8" t="n">
        <v>4</v>
      </c>
      <c r="B6" s="8" t="s">
        <v>30</v>
      </c>
      <c r="C6" s="9" t="s">
        <v>24</v>
      </c>
      <c r="D6" s="8" t="s">
        <v>25</v>
      </c>
      <c r="E6" s="8" t="s">
        <v>26</v>
      </c>
      <c r="F6" s="8" t="s">
        <v>27</v>
      </c>
      <c r="G6" s="10" t="n">
        <v>10.2</v>
      </c>
      <c r="H6" s="8" t="n">
        <v>4</v>
      </c>
      <c r="I6" s="11" t="n">
        <v>285</v>
      </c>
      <c r="J6" s="12" t="n">
        <v>0</v>
      </c>
      <c r="K6" s="11" t="n">
        <v>0</v>
      </c>
      <c r="L6" s="11" t="n">
        <f aca="false">I6*(1-J6)-K6</f>
        <v>285</v>
      </c>
      <c r="M6" s="11" t="n">
        <f aca="false">G6*L6</f>
        <v>2907</v>
      </c>
      <c r="N6" s="11" t="n">
        <v>145.35</v>
      </c>
      <c r="O6" s="11" t="n">
        <v>0</v>
      </c>
      <c r="P6" s="11" t="n">
        <v>0</v>
      </c>
      <c r="Q6" s="11" t="n">
        <f aca="false">M6+N6+O6+P6</f>
        <v>3052.35</v>
      </c>
      <c r="R6" s="11" t="n">
        <v>590</v>
      </c>
      <c r="S6" s="11" t="n">
        <v>327.75</v>
      </c>
      <c r="T6" s="11" t="n">
        <v>370.5</v>
      </c>
    </row>
    <row r="7" customFormat="false" ht="21.75" hidden="false" customHeight="true" outlineLevel="0" collapsed="false">
      <c r="A7" s="13" t="s">
        <v>31</v>
      </c>
      <c r="B7" s="14"/>
      <c r="C7" s="14"/>
      <c r="D7" s="14"/>
      <c r="E7" s="14"/>
      <c r="F7" s="14"/>
      <c r="G7" s="15" t="n">
        <f aca="false">SUM(G3:G6)</f>
        <v>40.2</v>
      </c>
      <c r="H7" s="14"/>
      <c r="I7" s="14"/>
      <c r="J7" s="14"/>
      <c r="K7" s="14"/>
      <c r="L7" s="14"/>
      <c r="M7" s="16" t="n">
        <f aca="false">SUM(M3:M6)</f>
        <v>11457</v>
      </c>
      <c r="N7" s="16" t="n">
        <f aca="false">SUM(N3:N6)</f>
        <v>572.85</v>
      </c>
      <c r="O7" s="14"/>
      <c r="P7" s="14"/>
      <c r="Q7" s="16" t="n">
        <f aca="false">SUM(Q3:Q6)</f>
        <v>12029.85</v>
      </c>
      <c r="R7" s="14"/>
      <c r="S7" s="14"/>
      <c r="T7" s="14"/>
    </row>
    <row r="9" customFormat="false" ht="21.75" hidden="false" customHeight="true" outlineLevel="0" collapsed="false">
      <c r="A9" s="17" t="s">
        <v>32</v>
      </c>
    </row>
    <row r="10" customFormat="false" ht="24" hidden="false" customHeight="true" outlineLevel="0" collapsed="false">
      <c r="A10" s="2" t="s">
        <v>0</v>
      </c>
      <c r="B10" s="2" t="s">
        <v>33</v>
      </c>
      <c r="C10" s="2" t="s">
        <v>34</v>
      </c>
      <c r="D10" s="2" t="s">
        <v>35</v>
      </c>
      <c r="E10" s="2" t="s">
        <v>36</v>
      </c>
      <c r="F10" s="2" t="s">
        <v>8</v>
      </c>
      <c r="G10" s="2" t="s">
        <v>9</v>
      </c>
    </row>
    <row r="11" customFormat="false" ht="19.5" hidden="false" customHeight="true" outlineLevel="0" collapsed="false">
      <c r="A11" s="18" t="n">
        <v>1</v>
      </c>
      <c r="B11" s="18" t="n">
        <v>1</v>
      </c>
      <c r="C11" s="18" t="str">
        <f aca="false">C3</f>
        <v>4-FA</v>
      </c>
      <c r="D11" s="19" t="n">
        <f aca="false">SUM(G3:G6)</f>
        <v>40.2</v>
      </c>
      <c r="E11" s="19" t="n">
        <f aca="false">SUM(M3:M6)</f>
        <v>11457</v>
      </c>
      <c r="F11" s="19" t="n">
        <f aca="false">ROUND(E11*5%,2)</f>
        <v>572.85</v>
      </c>
      <c r="G11" s="19" t="n">
        <f aca="false">E11+F11</f>
        <v>12029.85</v>
      </c>
    </row>
    <row r="12" customFormat="false" ht="19.5" hidden="false" customHeight="true" outlineLevel="0" collapsed="false">
      <c r="A12" s="20" t="s">
        <v>31</v>
      </c>
      <c r="B12" s="21"/>
      <c r="C12" s="21"/>
      <c r="D12" s="22" t="n">
        <f aca="false">SUM(D11:D11)</f>
        <v>40.2</v>
      </c>
      <c r="E12" s="22" t="n">
        <f aca="false">SUM(E11:E11)</f>
        <v>11457</v>
      </c>
      <c r="F12" s="22" t="n">
        <f aca="false">ROUND(E12*5%,2)</f>
        <v>572.85</v>
      </c>
      <c r="G12" s="22" t="n">
        <f aca="false">E12+F12</f>
        <v>12029.85</v>
      </c>
    </row>
  </sheetData>
  <mergeCells count="13">
    <mergeCell ref="A1:A2"/>
    <mergeCell ref="B1:F1"/>
    <mergeCell ref="G1:G2"/>
    <mergeCell ref="H1:H2"/>
    <mergeCell ref="I1:I2"/>
    <mergeCell ref="J1:K1"/>
    <mergeCell ref="L1:L2"/>
    <mergeCell ref="M1:M2"/>
    <mergeCell ref="N1:P1"/>
    <mergeCell ref="Q1:Q2"/>
    <mergeCell ref="R1:R2"/>
    <mergeCell ref="S1:S2"/>
    <mergeCell ref="T1:T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2026-09-08T12:21:35Z</dcterms:created>
  <dc:creator>openpyxl</dc:creator>
  <dc:description/>
  <dc:language>en-US</dc:language>
  <cp:lastModifiedBy/>
  <dcterms:modified xsi:type="dcterms:W3CDTF">2026-09-10T07:40:59Z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