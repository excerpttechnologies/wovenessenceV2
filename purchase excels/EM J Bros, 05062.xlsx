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Sheet1!$A$1:$V$11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5" authorId="0">
      <text>
        <r>
          <rPr>
            <sz val="10"/>
            <rFont val="Arial"/>
            <family val="2"/>
          </rPr>
          <t xml:space="preserve">GST @ 5% (IGST)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<sst xmlns="http://schemas.openxmlformats.org/spreadsheetml/2006/main" count="75" uniqueCount="43">
  <si>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</si>
  <si>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</si>
  <si>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</si>
  <si>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</si>
  <si>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</si>
  <si>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</si>
  <si>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</si>
  <si>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</si>
  <si>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</si>
  <si>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</si>
  <si>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</si>
  <si>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</si>
  <si>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</si>
  <si>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</si>
  <si>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</si>
  <si>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</si>
  <si>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</si>
  <si>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</si>
  <si>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</si>
  <si>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</si>
  <si>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</si>
  <si>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</si>
  <si>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</si>
  <si>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</si>
  <si>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</si>
  <si>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8A1137</t>
  </si>
  <si>
    <t xml:space="preserve">4-PU SLK</t>
  </si>
  <si>
    <t xml:space="preserve">50072090</t>
  </si>
  <si>
    <t xml:space="preserve">GST 5 %</t>
  </si>
  <si>
    <t xml:space="preserve">Mtr</t>
  </si>
  <si>
    <t xml:space="preserve">8A1138</t>
  </si>
  <si>
    <t xml:space="preserve">8A1139</t>
  </si>
  <si>
    <t xml:space="preserve">8A1140</t>
  </si>
  <si>
    <t xml:space="preserve">8A1141</t>
  </si>
  <si>
    <t xml:space="preserve">8A1142</t>
  </si>
  <si>
    <t xml:space="preserve">8A1143</t>
  </si>
  <si>
    <t xml:space="preserve">8A1144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</si>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</sst>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22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13.4</v>
      </c>
      <c r="H3" s="6" t="n">
        <v>8</v>
      </c>
      <c r="I3" s="5" t="n">
        <v>1050</v>
      </c>
      <c r="J3" s="5" t="n">
        <v>63</v>
      </c>
      <c r="K3" s="5" t="n">
        <v>0</v>
      </c>
      <c r="L3" s="5" t="n">
        <f aca="false">I3-J3-K3</f>
        <v>987</v>
      </c>
      <c r="M3" s="5" t="n">
        <f aca="false">G3*L3</f>
        <v>13225.8</v>
      </c>
      <c r="N3" s="5" t="n">
        <f aca="false">ROUND(M3*0.05,2)</f>
        <v>661.29</v>
      </c>
      <c r="O3" s="5" t="n">
        <v>0</v>
      </c>
      <c r="P3" s="5" t="n">
        <v>0</v>
      </c>
      <c r="Q3" s="5" t="n">
        <f aca="false">ROUND(M3*1.05,2)</f>
        <v>13887.09</v>
      </c>
      <c r="R3" s="5" t="n">
        <v>1780</v>
      </c>
      <c r="S3" s="5" t="n">
        <v>987</v>
      </c>
      <c r="T3" s="5" t="n">
        <v>987</v>
      </c>
      <c r="U3" s="3"/>
      <c r="V3" s="3"/>
    </row>
    <row r="4" customFormat="false" ht="15" hidden="false" customHeight="true" outlineLevel="0" collapsed="false">
      <c r="A4" s="7" t="n">
        <v>2</v>
      </c>
      <c r="B4" s="7" t="s">
        <v>30</v>
      </c>
      <c r="C4" s="8" t="s">
        <v>26</v>
      </c>
      <c r="D4" s="7" t="s">
        <v>27</v>
      </c>
      <c r="E4" s="7" t="s">
        <v>28</v>
      </c>
      <c r="F4" s="7" t="s">
        <v>29</v>
      </c>
      <c r="G4" s="9" t="n">
        <v>13.3</v>
      </c>
      <c r="H4" s="10" t="n">
        <v>8</v>
      </c>
      <c r="I4" s="9" t="n">
        <v>1050</v>
      </c>
      <c r="J4" s="9" t="n">
        <v>63</v>
      </c>
      <c r="K4" s="9" t="n">
        <v>0</v>
      </c>
      <c r="L4" s="9" t="n">
        <f aca="false">I4-J4-K4</f>
        <v>987</v>
      </c>
      <c r="M4" s="9" t="n">
        <f aca="false">G4*L4</f>
        <v>13127.1</v>
      </c>
      <c r="N4" s="9" t="n">
        <f aca="false">ROUND(M4*0.05,2)</f>
        <v>656.36</v>
      </c>
      <c r="O4" s="9" t="n">
        <v>0</v>
      </c>
      <c r="P4" s="9" t="n">
        <v>0</v>
      </c>
      <c r="Q4" s="9" t="n">
        <f aca="false">ROUND(M4*1.05,2)</f>
        <v>13783.46</v>
      </c>
      <c r="R4" s="9" t="n">
        <v>1780</v>
      </c>
      <c r="S4" s="9" t="n">
        <v>987</v>
      </c>
      <c r="T4" s="9" t="n">
        <v>987</v>
      </c>
      <c r="U4" s="7"/>
      <c r="V4" s="7"/>
    </row>
    <row r="5" customFormat="false" ht="15" hidden="false" customHeight="true" outlineLevel="0" collapsed="false">
      <c r="A5" s="3" t="n">
        <v>3</v>
      </c>
      <c r="B5" s="3" t="s">
        <v>31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13.3</v>
      </c>
      <c r="H5" s="6" t="n">
        <v>8</v>
      </c>
      <c r="I5" s="5" t="n">
        <v>1050</v>
      </c>
      <c r="J5" s="5" t="n">
        <v>63</v>
      </c>
      <c r="K5" s="5" t="n">
        <v>0</v>
      </c>
      <c r="L5" s="5" t="n">
        <f aca="false">I5-J5-K5</f>
        <v>987</v>
      </c>
      <c r="M5" s="5" t="n">
        <f aca="false">G5*L5</f>
        <v>13127.1</v>
      </c>
      <c r="N5" s="5" t="n">
        <f aca="false">ROUND(M5*0.05,2)</f>
        <v>656.36</v>
      </c>
      <c r="O5" s="5" t="n">
        <v>0</v>
      </c>
      <c r="P5" s="5" t="n">
        <v>0</v>
      </c>
      <c r="Q5" s="5" t="n">
        <f aca="false">ROUND(M5*1.05,2)</f>
        <v>13783.46</v>
      </c>
      <c r="R5" s="5" t="n">
        <v>1780</v>
      </c>
      <c r="S5" s="5" t="n">
        <v>987</v>
      </c>
      <c r="T5" s="5" t="n">
        <v>987</v>
      </c>
      <c r="U5" s="3"/>
      <c r="V5" s="3"/>
    </row>
    <row r="6" customFormat="false" ht="15" hidden="false" customHeight="true" outlineLevel="0" collapsed="false">
      <c r="A6" s="7" t="n">
        <v>4</v>
      </c>
      <c r="B6" s="7" t="s">
        <v>32</v>
      </c>
      <c r="C6" s="8" t="s">
        <v>26</v>
      </c>
      <c r="D6" s="7" t="s">
        <v>27</v>
      </c>
      <c r="E6" s="7" t="s">
        <v>28</v>
      </c>
      <c r="F6" s="7" t="s">
        <v>29</v>
      </c>
      <c r="G6" s="9" t="n">
        <v>13.25</v>
      </c>
      <c r="H6" s="10" t="n">
        <v>8</v>
      </c>
      <c r="I6" s="9" t="n">
        <v>1050</v>
      </c>
      <c r="J6" s="9" t="n">
        <v>63</v>
      </c>
      <c r="K6" s="9" t="n">
        <v>0</v>
      </c>
      <c r="L6" s="9" t="n">
        <f aca="false">I6-J6-K6</f>
        <v>987</v>
      </c>
      <c r="M6" s="9" t="n">
        <f aca="false">G6*L6</f>
        <v>13077.75</v>
      </c>
      <c r="N6" s="9" t="n">
        <f aca="false">ROUND(M6*0.05,2)</f>
        <v>653.89</v>
      </c>
      <c r="O6" s="9" t="n">
        <v>0</v>
      </c>
      <c r="P6" s="9" t="n">
        <v>0</v>
      </c>
      <c r="Q6" s="9" t="n">
        <f aca="false">ROUND(M6*1.05,2)</f>
        <v>13731.64</v>
      </c>
      <c r="R6" s="9" t="n">
        <v>1780</v>
      </c>
      <c r="S6" s="9" t="n">
        <v>987</v>
      </c>
      <c r="T6" s="9" t="n">
        <v>987</v>
      </c>
      <c r="U6" s="7"/>
      <c r="V6" s="7"/>
    </row>
    <row r="7" customFormat="false" ht="15" hidden="false" customHeight="true" outlineLevel="0" collapsed="false">
      <c r="A7" s="3" t="n">
        <v>5</v>
      </c>
      <c r="B7" s="3" t="s">
        <v>33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13.25</v>
      </c>
      <c r="H7" s="6" t="n">
        <v>8</v>
      </c>
      <c r="I7" s="5" t="n">
        <v>1050</v>
      </c>
      <c r="J7" s="5" t="n">
        <v>63</v>
      </c>
      <c r="K7" s="5" t="n">
        <v>0</v>
      </c>
      <c r="L7" s="5" t="n">
        <f aca="false">I7-J7-K7</f>
        <v>987</v>
      </c>
      <c r="M7" s="5" t="n">
        <f aca="false">G7*L7</f>
        <v>13077.75</v>
      </c>
      <c r="N7" s="5" t="n">
        <f aca="false">ROUND(M7*0.05,2)</f>
        <v>653.89</v>
      </c>
      <c r="O7" s="5" t="n">
        <v>0</v>
      </c>
      <c r="P7" s="5" t="n">
        <v>0</v>
      </c>
      <c r="Q7" s="5" t="n">
        <f aca="false">ROUND(M7*1.05,2)</f>
        <v>13731.64</v>
      </c>
      <c r="R7" s="5" t="n">
        <v>1780</v>
      </c>
      <c r="S7" s="5" t="n">
        <v>987</v>
      </c>
      <c r="T7" s="5" t="n">
        <v>987</v>
      </c>
      <c r="U7" s="3"/>
      <c r="V7" s="3"/>
    </row>
    <row r="8" customFormat="false" ht="15" hidden="false" customHeight="true" outlineLevel="0" collapsed="false">
      <c r="A8" s="7" t="n">
        <v>6</v>
      </c>
      <c r="B8" s="7" t="s">
        <v>34</v>
      </c>
      <c r="C8" s="8" t="s">
        <v>26</v>
      </c>
      <c r="D8" s="7" t="s">
        <v>27</v>
      </c>
      <c r="E8" s="7" t="s">
        <v>28</v>
      </c>
      <c r="F8" s="7" t="s">
        <v>29</v>
      </c>
      <c r="G8" s="9" t="n">
        <v>13.25</v>
      </c>
      <c r="H8" s="10" t="n">
        <v>8</v>
      </c>
      <c r="I8" s="9" t="n">
        <v>1050</v>
      </c>
      <c r="J8" s="9" t="n">
        <v>63</v>
      </c>
      <c r="K8" s="9" t="n">
        <v>0</v>
      </c>
      <c r="L8" s="9" t="n">
        <f aca="false">I8-J8-K8</f>
        <v>987</v>
      </c>
      <c r="M8" s="9" t="n">
        <f aca="false">G8*L8</f>
        <v>13077.75</v>
      </c>
      <c r="N8" s="9" t="n">
        <f aca="false">ROUND(M8*0.05,2)</f>
        <v>653.89</v>
      </c>
      <c r="O8" s="9" t="n">
        <v>0</v>
      </c>
      <c r="P8" s="9" t="n">
        <v>0</v>
      </c>
      <c r="Q8" s="9" t="n">
        <f aca="false">ROUND(M8*1.05,2)</f>
        <v>13731.64</v>
      </c>
      <c r="R8" s="9" t="n">
        <v>1780</v>
      </c>
      <c r="S8" s="9" t="n">
        <v>987</v>
      </c>
      <c r="T8" s="9" t="n">
        <v>987</v>
      </c>
      <c r="U8" s="7"/>
      <c r="V8" s="7"/>
    </row>
    <row r="9" customFormat="false" ht="15" hidden="false" customHeight="true" outlineLevel="0" collapsed="false">
      <c r="A9" s="3" t="n">
        <v>7</v>
      </c>
      <c r="B9" s="3" t="s">
        <v>35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13.25</v>
      </c>
      <c r="H9" s="6" t="n">
        <v>8</v>
      </c>
      <c r="I9" s="5" t="n">
        <v>1050</v>
      </c>
      <c r="J9" s="5" t="n">
        <v>63</v>
      </c>
      <c r="K9" s="5" t="n">
        <v>0</v>
      </c>
      <c r="L9" s="5" t="n">
        <f aca="false">I9-J9-K9</f>
        <v>987</v>
      </c>
      <c r="M9" s="5" t="n">
        <f aca="false">G9*L9</f>
        <v>13077.75</v>
      </c>
      <c r="N9" s="5" t="n">
        <f aca="false">ROUND(M9*0.05,2)</f>
        <v>653.89</v>
      </c>
      <c r="O9" s="5" t="n">
        <v>0</v>
      </c>
      <c r="P9" s="5" t="n">
        <v>0</v>
      </c>
      <c r="Q9" s="5" t="n">
        <f aca="false">ROUND(M9*1.05,2)</f>
        <v>13731.64</v>
      </c>
      <c r="R9" s="5" t="n">
        <v>1780</v>
      </c>
      <c r="S9" s="5" t="n">
        <v>987</v>
      </c>
      <c r="T9" s="5" t="n">
        <v>987</v>
      </c>
      <c r="U9" s="3"/>
      <c r="V9" s="3"/>
    </row>
    <row r="10" customFormat="false" ht="15" hidden="false" customHeight="true" outlineLevel="0" collapsed="false">
      <c r="A10" s="7" t="n">
        <v>8</v>
      </c>
      <c r="B10" s="7" t="s">
        <v>36</v>
      </c>
      <c r="C10" s="8" t="s">
        <v>26</v>
      </c>
      <c r="D10" s="7" t="s">
        <v>27</v>
      </c>
      <c r="E10" s="7" t="s">
        <v>28</v>
      </c>
      <c r="F10" s="7" t="s">
        <v>29</v>
      </c>
      <c r="G10" s="9" t="n">
        <v>13.25</v>
      </c>
      <c r="H10" s="10" t="n">
        <v>8</v>
      </c>
      <c r="I10" s="9" t="n">
        <v>1050</v>
      </c>
      <c r="J10" s="9" t="n">
        <v>63</v>
      </c>
      <c r="K10" s="9" t="n">
        <v>0</v>
      </c>
      <c r="L10" s="9" t="n">
        <f aca="false">I10-J10-K10</f>
        <v>987</v>
      </c>
      <c r="M10" s="9" t="n">
        <f aca="false">G10*L10</f>
        <v>13077.75</v>
      </c>
      <c r="N10" s="9" t="n">
        <f aca="false">ROUND(M10*0.05,2)</f>
        <v>653.89</v>
      </c>
      <c r="O10" s="9" t="n">
        <v>0</v>
      </c>
      <c r="P10" s="9" t="n">
        <v>0</v>
      </c>
      <c r="Q10" s="9" t="n">
        <f aca="false">ROUND(M10*1.05,2)</f>
        <v>13731.64</v>
      </c>
      <c r="R10" s="9" t="n">
        <v>1780</v>
      </c>
      <c r="S10" s="9" t="n">
        <v>987</v>
      </c>
      <c r="T10" s="9" t="n">
        <v>987</v>
      </c>
      <c r="U10" s="7"/>
      <c r="V10" s="7"/>
    </row>
    <row r="11" customFormat="false" ht="15" hidden="false" customHeight="true" outlineLevel="0" collapsed="false">
      <c r="A11" s="11" t="s">
        <v>37</v>
      </c>
      <c r="B11" s="11"/>
      <c r="C11" s="12"/>
      <c r="D11" s="11"/>
      <c r="E11" s="11"/>
      <c r="F11" s="11"/>
      <c r="G11" s="13" t="n">
        <f aca="false">SUM(G3:G10)</f>
        <v>106.25</v>
      </c>
      <c r="H11" s="14" t="n">
        <f aca="false">SUM(H3:H10)</f>
        <v>64</v>
      </c>
      <c r="I11" s="13" t="n">
        <f aca="false">AVERAGE(I3:I10)</f>
        <v>1050</v>
      </c>
      <c r="J11" s="13" t="n">
        <f aca="false">SUM(J3:J10)</f>
        <v>504</v>
      </c>
      <c r="K11" s="13" t="n">
        <f aca="false">SUM(K3:K10)</f>
        <v>0</v>
      </c>
      <c r="L11" s="13" t="n">
        <f aca="false">AVERAGE(L3:L10)</f>
        <v>987</v>
      </c>
      <c r="M11" s="13" t="n">
        <f aca="false">SUM(M3:M10)</f>
        <v>104868.75</v>
      </c>
      <c r="N11" s="13" t="n">
        <f aca="false">SUM(N3:N10)</f>
        <v>5243.46</v>
      </c>
      <c r="O11" s="13" t="n">
        <f aca="false">SUM(O3:O10)</f>
        <v>0</v>
      </c>
      <c r="P11" s="13" t="n">
        <f aca="false">SUM(P3:P10)</f>
        <v>0</v>
      </c>
      <c r="Q11" s="13" t="n">
        <f aca="false">SUM(Q3:Q10)</f>
        <v>110112.21</v>
      </c>
      <c r="R11" s="13" t="n">
        <f aca="false">AVERAGE(R3:R10)</f>
        <v>1780</v>
      </c>
      <c r="S11" s="13" t="n">
        <f aca="false">AVERAGE(S3:S10)</f>
        <v>987</v>
      </c>
      <c r="T11" s="13" t="n">
        <f aca="false">AVERAGE(T3:T10)</f>
        <v>987</v>
      </c>
      <c r="U11" s="11"/>
      <c r="V11" s="11"/>
    </row>
    <row r="13" customFormat="false" ht="21.75" hidden="false" customHeight="true" outlineLevel="0" collapsed="false">
      <c r="A13" s="15" t="s">
        <v>38</v>
      </c>
    </row>
    <row r="14" customFormat="false" ht="24" hidden="false" customHeight="true" outlineLevel="0" collapsed="false">
      <c r="A14" s="2" t="s">
        <v>0</v>
      </c>
      <c r="B14" s="2" t="s">
        <v>39</v>
      </c>
      <c r="C14" s="2" t="s">
        <v>40</v>
      </c>
      <c r="D14" s="2" t="s">
        <v>41</v>
      </c>
      <c r="E14" s="2" t="s">
        <v>42</v>
      </c>
      <c r="F14" s="2" t="s">
        <v>8</v>
      </c>
      <c r="G14" s="2" t="s">
        <v>9</v>
      </c>
    </row>
    <row r="15" customFormat="false" ht="19.5" hidden="false" customHeight="true" outlineLevel="0" collapsed="false">
      <c r="A15" s="16" t="n">
        <v>1</v>
      </c>
      <c r="B15" s="16" t="n">
        <v>1</v>
      </c>
      <c r="C15" s="16" t="str">
        <f aca="false">C3</f>
        <v>4-PU SLK</v>
      </c>
      <c r="D15" s="17" t="n">
        <f aca="false">SUM(G3:G10)</f>
        <v>106.25</v>
      </c>
      <c r="E15" s="17" t="n">
        <f aca="false">SUM(M3:M10)</f>
        <v>104868.75</v>
      </c>
      <c r="F15" s="17" t="n">
        <f aca="false">ROUND(E15*5%,2)</f>
        <v>5243.44</v>
      </c>
      <c r="G15" s="17" t="n">
        <f aca="false">E15+F15</f>
        <v>110112.19</v>
      </c>
    </row>
    <row r="16" customFormat="false" ht="19.5" hidden="false" customHeight="true" outlineLevel="0" collapsed="false">
      <c r="A16" s="18" t="s">
        <v>37</v>
      </c>
      <c r="B16" s="19"/>
      <c r="C16" s="19"/>
      <c r="D16" s="20" t="n">
        <f aca="false">SUM(D15:D15)</f>
        <v>106.25</v>
      </c>
      <c r="E16" s="20" t="n">
        <f aca="false">SUM(E15:E15)</f>
        <v>104868.75</v>
      </c>
      <c r="F16" s="20" t="n">
        <f aca="false">ROUND(E16*5%,2)</f>
        <v>5243.44</v>
      </c>
      <c r="G16" s="20" t="n">
        <f aca="false">E16+F16</f>
        <v>110112.19</v>
      </c>
    </row>
  </sheetData>
  <autoFilter ref="A1:V11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2026-09-08T10:51:36Z</dcterms:created>
  <dc:creator>openpyxl</dc:creator>
  <dc:description/>
  <dc:language>en-US</dc:language>
  <cp:lastModifiedBy>Admin</cp:lastModifiedBy>
  <dcterms:modified xsi:type="dcterms:W3CDTF">2026-09-10T07:28:54Z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