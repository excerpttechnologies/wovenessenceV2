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5" authorId="0">
      <text>
        <r>
          <rPr>
            <sz val="10"/>
            <rFont val="Arial"/>
            <family val="2"/>
          </rPr>
          <t xml:space="preserve">GST @ 5% total (CGST 2.5% + SGST 2.5%)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<sst xmlns="http://schemas.openxmlformats.org/spreadsheetml/2006/main" count="83" uniqueCount="44">
  <si>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</si>
  <si>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</si>
  <si>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</si>
  <si>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</si>
  <si>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</si>
  <si>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</si>
  <si>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</si>
  <si>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</si>
  <si>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</si>
  <si>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</si>
  <si>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</si>
  <si>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</si>
  <si>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</si>
  <si>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</si>
  <si>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</si>
  <si>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</si>
  <si>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</si>
  <si>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</si>
  <si>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</si>
  <si>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</si>
  <si>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</si>
  <si>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</si>
  <si>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</si>
  <si>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</si>
  <si>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</si>
  <si>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8A3360</t>
  </si>
  <si>
    <t xml:space="preserve">3PC-ASUIT</t>
  </si>
  <si>
    <t xml:space="preserve">540742</t>
  </si>
  <si>
    <t xml:space="preserve">GST 5 %</t>
  </si>
  <si>
    <t xml:space="preserve">Pc(s)</t>
  </si>
  <si>
    <t xml:space="preserve">Edit</t>
  </si>
  <si>
    <t xml:space="preserve">8A3361</t>
  </si>
  <si>
    <t xml:space="preserve">8A3362</t>
  </si>
  <si>
    <t xml:space="preserve">8A3363</t>
  </si>
  <si>
    <t xml:space="preserve">8A3364</t>
  </si>
  <si>
    <t xml:space="preserve">8A3365</t>
  </si>
  <si>
    <t xml:space="preserve">8A3366</t>
  </si>
  <si>
    <t xml:space="preserve">8A3367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</si>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</sst>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7" min="13" style="0" width="16"/>
    <col collapsed="false" customWidth="true" hidden="false" outlineLevel="0" max="20" min="18" style="0" width="20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5"/>
      <c r="I3" s="5" t="n">
        <v>750</v>
      </c>
      <c r="J3" s="5" t="n">
        <v>0</v>
      </c>
      <c r="K3" s="5" t="n">
        <v>0</v>
      </c>
      <c r="L3" s="5" t="n">
        <v>750</v>
      </c>
      <c r="M3" s="5" t="n">
        <v>750</v>
      </c>
      <c r="N3" s="5" t="n">
        <v>0</v>
      </c>
      <c r="O3" s="5" t="n">
        <v>18.75</v>
      </c>
      <c r="P3" s="5" t="n">
        <v>18.75</v>
      </c>
      <c r="Q3" s="5" t="n">
        <v>787.5</v>
      </c>
      <c r="R3" s="5" t="n">
        <v>1250</v>
      </c>
      <c r="S3" s="5" t="n">
        <v>862.5</v>
      </c>
      <c r="T3" s="5" t="n">
        <v>975</v>
      </c>
      <c r="U3" s="6"/>
      <c r="V3" s="3" t="s">
        <v>30</v>
      </c>
    </row>
    <row r="4" customFormat="false" ht="15" hidden="false" customHeight="true" outlineLevel="0" collapsed="false">
      <c r="A4" s="3" t="n">
        <v>2</v>
      </c>
      <c r="B4" s="4" t="s">
        <v>31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1</v>
      </c>
      <c r="H4" s="5"/>
      <c r="I4" s="5" t="n">
        <v>750</v>
      </c>
      <c r="J4" s="5" t="n">
        <v>0</v>
      </c>
      <c r="K4" s="5" t="n">
        <v>0</v>
      </c>
      <c r="L4" s="5" t="n">
        <v>750</v>
      </c>
      <c r="M4" s="5" t="n">
        <v>750</v>
      </c>
      <c r="N4" s="5" t="n">
        <v>0</v>
      </c>
      <c r="O4" s="5" t="n">
        <v>18.75</v>
      </c>
      <c r="P4" s="5" t="n">
        <v>18.75</v>
      </c>
      <c r="Q4" s="5" t="n">
        <v>787.5</v>
      </c>
      <c r="R4" s="5" t="n">
        <v>1250</v>
      </c>
      <c r="S4" s="5" t="n">
        <v>862.5</v>
      </c>
      <c r="T4" s="5" t="n">
        <v>975</v>
      </c>
      <c r="U4" s="6"/>
      <c r="V4" s="3" t="s">
        <v>30</v>
      </c>
    </row>
    <row r="5" customFormat="false" ht="15" hidden="false" customHeight="true" outlineLevel="0" collapsed="false">
      <c r="A5" s="3" t="n">
        <v>3</v>
      </c>
      <c r="B5" s="4" t="s">
        <v>32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5"/>
      <c r="I5" s="5" t="n">
        <v>750</v>
      </c>
      <c r="J5" s="5" t="n">
        <v>0</v>
      </c>
      <c r="K5" s="5" t="n">
        <v>0</v>
      </c>
      <c r="L5" s="5" t="n">
        <v>750</v>
      </c>
      <c r="M5" s="5" t="n">
        <v>750</v>
      </c>
      <c r="N5" s="5" t="n">
        <v>0</v>
      </c>
      <c r="O5" s="5" t="n">
        <v>18.75</v>
      </c>
      <c r="P5" s="5" t="n">
        <v>18.75</v>
      </c>
      <c r="Q5" s="5" t="n">
        <v>787.5</v>
      </c>
      <c r="R5" s="5" t="n">
        <v>1250</v>
      </c>
      <c r="S5" s="5" t="n">
        <v>862.5</v>
      </c>
      <c r="T5" s="5" t="n">
        <v>975</v>
      </c>
      <c r="U5" s="6"/>
      <c r="V5" s="3" t="s">
        <v>30</v>
      </c>
    </row>
    <row r="6" customFormat="false" ht="15" hidden="false" customHeight="true" outlineLevel="0" collapsed="false">
      <c r="A6" s="3" t="n">
        <v>4</v>
      </c>
      <c r="B6" s="4" t="s">
        <v>33</v>
      </c>
      <c r="C6" s="4" t="s">
        <v>26</v>
      </c>
      <c r="D6" s="3" t="s">
        <v>27</v>
      </c>
      <c r="E6" s="3" t="s">
        <v>28</v>
      </c>
      <c r="F6" s="3" t="s">
        <v>29</v>
      </c>
      <c r="G6" s="5" t="n">
        <v>1</v>
      </c>
      <c r="H6" s="5"/>
      <c r="I6" s="5" t="n">
        <v>2500</v>
      </c>
      <c r="J6" s="5" t="n">
        <v>0</v>
      </c>
      <c r="K6" s="5" t="n">
        <v>0</v>
      </c>
      <c r="L6" s="5" t="n">
        <v>2500</v>
      </c>
      <c r="M6" s="5" t="n">
        <v>2500</v>
      </c>
      <c r="N6" s="5" t="n">
        <v>0</v>
      </c>
      <c r="O6" s="5" t="n">
        <v>62.5</v>
      </c>
      <c r="P6" s="5" t="n">
        <v>62.5</v>
      </c>
      <c r="Q6" s="5" t="n">
        <v>2625</v>
      </c>
      <c r="R6" s="5" t="n">
        <v>4900</v>
      </c>
      <c r="S6" s="5" t="n">
        <v>2875</v>
      </c>
      <c r="T6" s="5" t="n">
        <v>3250</v>
      </c>
      <c r="U6" s="6"/>
      <c r="V6" s="3" t="s">
        <v>30</v>
      </c>
    </row>
    <row r="7" customFormat="false" ht="15" hidden="false" customHeight="true" outlineLevel="0" collapsed="false">
      <c r="A7" s="3" t="n">
        <v>5</v>
      </c>
      <c r="B7" s="4" t="s">
        <v>34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5"/>
      <c r="I7" s="5" t="n">
        <v>1000</v>
      </c>
      <c r="J7" s="5" t="n">
        <v>0</v>
      </c>
      <c r="K7" s="5" t="n">
        <v>0</v>
      </c>
      <c r="L7" s="5" t="n">
        <v>1000</v>
      </c>
      <c r="M7" s="5" t="n">
        <v>1000</v>
      </c>
      <c r="N7" s="5" t="n">
        <v>0</v>
      </c>
      <c r="O7" s="5" t="n">
        <v>25</v>
      </c>
      <c r="P7" s="5" t="n">
        <v>25</v>
      </c>
      <c r="Q7" s="5" t="n">
        <v>1050</v>
      </c>
      <c r="R7" s="5" t="n">
        <v>2490</v>
      </c>
      <c r="S7" s="5" t="n">
        <v>1150</v>
      </c>
      <c r="T7" s="5" t="n">
        <v>1300</v>
      </c>
      <c r="U7" s="6"/>
      <c r="V7" s="3" t="s">
        <v>30</v>
      </c>
    </row>
    <row r="8" customFormat="false" ht="15" hidden="false" customHeight="true" outlineLevel="0" collapsed="false">
      <c r="A8" s="3" t="n">
        <v>6</v>
      </c>
      <c r="B8" s="4" t="s">
        <v>35</v>
      </c>
      <c r="C8" s="4" t="s">
        <v>26</v>
      </c>
      <c r="D8" s="3" t="s">
        <v>27</v>
      </c>
      <c r="E8" s="3" t="s">
        <v>28</v>
      </c>
      <c r="F8" s="3" t="s">
        <v>29</v>
      </c>
      <c r="G8" s="5" t="n">
        <v>1</v>
      </c>
      <c r="H8" s="5"/>
      <c r="I8" s="5" t="n">
        <v>1000</v>
      </c>
      <c r="J8" s="5" t="n">
        <v>0</v>
      </c>
      <c r="K8" s="5" t="n">
        <v>0</v>
      </c>
      <c r="L8" s="5" t="n">
        <v>1000</v>
      </c>
      <c r="M8" s="5" t="n">
        <v>1000</v>
      </c>
      <c r="N8" s="5" t="n">
        <v>0</v>
      </c>
      <c r="O8" s="5" t="n">
        <v>25</v>
      </c>
      <c r="P8" s="5" t="n">
        <v>25</v>
      </c>
      <c r="Q8" s="5" t="n">
        <v>1050</v>
      </c>
      <c r="R8" s="5" t="n">
        <v>2490</v>
      </c>
      <c r="S8" s="5" t="n">
        <v>1150</v>
      </c>
      <c r="T8" s="5" t="n">
        <v>1300</v>
      </c>
      <c r="U8" s="6"/>
      <c r="V8" s="3" t="s">
        <v>30</v>
      </c>
    </row>
    <row r="9" customFormat="false" ht="15" hidden="false" customHeight="true" outlineLevel="0" collapsed="false">
      <c r="A9" s="3" t="n">
        <v>7</v>
      </c>
      <c r="B9" s="4" t="s">
        <v>36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5"/>
      <c r="I9" s="5" t="n">
        <v>500</v>
      </c>
      <c r="J9" s="5" t="n">
        <v>0</v>
      </c>
      <c r="K9" s="5" t="n">
        <v>0</v>
      </c>
      <c r="L9" s="5" t="n">
        <v>500</v>
      </c>
      <c r="M9" s="5" t="n">
        <v>500</v>
      </c>
      <c r="N9" s="5" t="n">
        <v>0</v>
      </c>
      <c r="O9" s="5" t="n">
        <v>12.5</v>
      </c>
      <c r="P9" s="5" t="n">
        <v>12.5</v>
      </c>
      <c r="Q9" s="5" t="n">
        <v>525</v>
      </c>
      <c r="R9" s="5" t="n">
        <v>1245</v>
      </c>
      <c r="S9" s="5" t="n">
        <v>575</v>
      </c>
      <c r="T9" s="5" t="n">
        <v>650</v>
      </c>
      <c r="U9" s="6"/>
      <c r="V9" s="3" t="s">
        <v>30</v>
      </c>
    </row>
    <row r="10" customFormat="false" ht="15" hidden="false" customHeight="true" outlineLevel="0" collapsed="false">
      <c r="A10" s="3" t="n">
        <v>8</v>
      </c>
      <c r="B10" s="4" t="s">
        <v>37</v>
      </c>
      <c r="C10" s="4" t="s">
        <v>26</v>
      </c>
      <c r="D10" s="3" t="s">
        <v>27</v>
      </c>
      <c r="E10" s="3" t="s">
        <v>28</v>
      </c>
      <c r="F10" s="3" t="s">
        <v>29</v>
      </c>
      <c r="G10" s="5" t="n">
        <v>1</v>
      </c>
      <c r="H10" s="5"/>
      <c r="I10" s="5" t="n">
        <v>500</v>
      </c>
      <c r="J10" s="5" t="n">
        <v>0</v>
      </c>
      <c r="K10" s="5" t="n">
        <v>0</v>
      </c>
      <c r="L10" s="5" t="n">
        <v>500</v>
      </c>
      <c r="M10" s="5" t="n">
        <v>500</v>
      </c>
      <c r="N10" s="5" t="n">
        <v>0</v>
      </c>
      <c r="O10" s="5" t="n">
        <v>12.5</v>
      </c>
      <c r="P10" s="5" t="n">
        <v>12.5</v>
      </c>
      <c r="Q10" s="5" t="n">
        <v>525</v>
      </c>
      <c r="R10" s="5" t="n">
        <v>1245</v>
      </c>
      <c r="S10" s="5" t="n">
        <v>575</v>
      </c>
      <c r="T10" s="5" t="n">
        <v>650</v>
      </c>
      <c r="U10" s="6"/>
      <c r="V10" s="3" t="s">
        <v>30</v>
      </c>
    </row>
    <row r="11" customFormat="false" ht="15" hidden="false" customHeight="true" outlineLevel="0" collapsed="false">
      <c r="A11" s="7" t="s">
        <v>38</v>
      </c>
      <c r="B11" s="7"/>
      <c r="C11" s="7"/>
      <c r="D11" s="7"/>
      <c r="E11" s="7"/>
      <c r="F11" s="7"/>
      <c r="G11" s="8" t="n">
        <f aca="false">SUM(G3:G10)</f>
        <v>8</v>
      </c>
      <c r="H11" s="8" t="n">
        <f aca="false">SUM(H3:H10)</f>
        <v>0</v>
      </c>
      <c r="I11" s="8" t="n">
        <f aca="false">AVERAGE(I3:I10)</f>
        <v>968.75</v>
      </c>
      <c r="J11" s="8" t="n">
        <f aca="false">SUM(J3:J10)</f>
        <v>0</v>
      </c>
      <c r="K11" s="8" t="n">
        <f aca="false">SUM(K3:K10)</f>
        <v>0</v>
      </c>
      <c r="L11" s="8" t="n">
        <f aca="false">AVERAGE(L3:L10)</f>
        <v>968.75</v>
      </c>
      <c r="M11" s="8" t="n">
        <f aca="false">SUM(M3:M10)</f>
        <v>7750</v>
      </c>
      <c r="N11" s="8" t="n">
        <f aca="false">SUM(N3:N10)</f>
        <v>0</v>
      </c>
      <c r="O11" s="8" t="n">
        <f aca="false">SUM(O3:O10)</f>
        <v>193.75</v>
      </c>
      <c r="P11" s="8" t="n">
        <f aca="false">SUM(P3:P10)</f>
        <v>193.75</v>
      </c>
      <c r="Q11" s="8" t="n">
        <f aca="false">SUM(Q3:Q10)</f>
        <v>8137.5</v>
      </c>
      <c r="R11" s="8" t="n">
        <f aca="false">AVERAGE(R3:R10)</f>
        <v>2015</v>
      </c>
      <c r="S11" s="8" t="n">
        <f aca="false">AVERAGE(S3:S10)</f>
        <v>1114.0625</v>
      </c>
      <c r="T11" s="8" t="n">
        <f aca="false">AVERAGE(T3:T10)</f>
        <v>1259.375</v>
      </c>
      <c r="U11" s="9"/>
      <c r="V11" s="9"/>
    </row>
    <row r="12" customFormat="false" ht="15" hidden="false" customHeight="true" outlineLevel="0" collapsed="false"/>
    <row r="13" customFormat="false" ht="21.75" hidden="false" customHeight="true" outlineLevel="0" collapsed="false">
      <c r="A13" s="10" t="s">
        <v>39</v>
      </c>
    </row>
    <row r="14" customFormat="false" ht="24" hidden="false" customHeight="true" outlineLevel="0" collapsed="false">
      <c r="A14" s="2" t="s">
        <v>0</v>
      </c>
      <c r="B14" s="2" t="s">
        <v>40</v>
      </c>
      <c r="C14" s="2" t="s">
        <v>41</v>
      </c>
      <c r="D14" s="2" t="s">
        <v>42</v>
      </c>
      <c r="E14" s="2" t="s">
        <v>43</v>
      </c>
      <c r="F14" s="2" t="s">
        <v>8</v>
      </c>
      <c r="G14" s="2" t="s">
        <v>9</v>
      </c>
    </row>
    <row r="15" customFormat="false" ht="19.5" hidden="false" customHeight="true" outlineLevel="0" collapsed="false">
      <c r="A15" s="11" t="n">
        <v>1</v>
      </c>
      <c r="B15" s="11" t="n">
        <v>1</v>
      </c>
      <c r="C15" s="11" t="str">
        <f aca="false">C3</f>
        <v>3PC-ASUIT</v>
      </c>
      <c r="D15" s="12" t="n">
        <f aca="false">SUM(G3:G5)</f>
        <v>3</v>
      </c>
      <c r="E15" s="12" t="n">
        <f aca="false">SUM(M3:M5)</f>
        <v>2250</v>
      </c>
      <c r="F15" s="12" t="n">
        <f aca="false">ROUND(E15*5%,2)</f>
        <v>112.5</v>
      </c>
      <c r="G15" s="12" t="n">
        <f aca="false">E15+F15</f>
        <v>2362.5</v>
      </c>
    </row>
    <row r="16" customFormat="false" ht="19.5" hidden="false" customHeight="true" outlineLevel="0" collapsed="false">
      <c r="A16" s="11" t="n">
        <v>2</v>
      </c>
      <c r="B16" s="11" t="n">
        <v>2</v>
      </c>
      <c r="C16" s="11" t="str">
        <f aca="false">C6</f>
        <v>3PC-ASUIT</v>
      </c>
      <c r="D16" s="12" t="n">
        <f aca="false">SUM(G6:G6)</f>
        <v>1</v>
      </c>
      <c r="E16" s="12" t="n">
        <f aca="false">SUM(M6:M6)</f>
        <v>2500</v>
      </c>
      <c r="F16" s="12" t="n">
        <f aca="false">ROUND(E16*5%,2)</f>
        <v>125</v>
      </c>
      <c r="G16" s="12" t="n">
        <f aca="false">E16+F16</f>
        <v>2625</v>
      </c>
    </row>
    <row r="17" customFormat="false" ht="19.5" hidden="false" customHeight="true" outlineLevel="0" collapsed="false">
      <c r="A17" s="11" t="n">
        <v>3</v>
      </c>
      <c r="B17" s="11" t="n">
        <v>3</v>
      </c>
      <c r="C17" s="11" t="str">
        <f aca="false">C7</f>
        <v>3PC-ASUIT</v>
      </c>
      <c r="D17" s="12" t="n">
        <f aca="false">SUM(G7:G8)</f>
        <v>2</v>
      </c>
      <c r="E17" s="12" t="n">
        <f aca="false">SUM(M7:M8)</f>
        <v>2000</v>
      </c>
      <c r="F17" s="12" t="n">
        <f aca="false">ROUND(E17*5%,2)</f>
        <v>100</v>
      </c>
      <c r="G17" s="12" t="n">
        <f aca="false">E17+F17</f>
        <v>2100</v>
      </c>
    </row>
    <row r="18" customFormat="false" ht="19.5" hidden="false" customHeight="true" outlineLevel="0" collapsed="false">
      <c r="A18" s="11" t="n">
        <v>4</v>
      </c>
      <c r="B18" s="11" t="n">
        <v>4</v>
      </c>
      <c r="C18" s="11" t="str">
        <f aca="false">C9</f>
        <v>3PC-ASUIT</v>
      </c>
      <c r="D18" s="12" t="n">
        <f aca="false">SUM(G9:G9)</f>
        <v>1</v>
      </c>
      <c r="E18" s="12" t="n">
        <f aca="false">SUM(M9:M9)</f>
        <v>500</v>
      </c>
      <c r="F18" s="12" t="n">
        <f aca="false">ROUND(E18*5%,2)</f>
        <v>25</v>
      </c>
      <c r="G18" s="12" t="n">
        <f aca="false">E18+F18</f>
        <v>525</v>
      </c>
    </row>
    <row r="19" customFormat="false" ht="19.5" hidden="false" customHeight="true" outlineLevel="0" collapsed="false">
      <c r="A19" s="11" t="n">
        <v>5</v>
      </c>
      <c r="B19" s="11" t="n">
        <v>5</v>
      </c>
      <c r="C19" s="11" t="str">
        <f aca="false">C10</f>
        <v>3PC-ASUIT</v>
      </c>
      <c r="D19" s="12" t="n">
        <f aca="false">SUM(G10:G10)</f>
        <v>1</v>
      </c>
      <c r="E19" s="12" t="n">
        <f aca="false">SUM(M10:M10)</f>
        <v>500</v>
      </c>
      <c r="F19" s="12" t="n">
        <f aca="false">ROUND(E19*5%,2)</f>
        <v>25</v>
      </c>
      <c r="G19" s="12" t="n">
        <f aca="false">E19+F19</f>
        <v>525</v>
      </c>
    </row>
    <row r="20" customFormat="false" ht="19.5" hidden="false" customHeight="true" outlineLevel="0" collapsed="false">
      <c r="A20" s="13" t="s">
        <v>38</v>
      </c>
      <c r="B20" s="14"/>
      <c r="C20" s="14"/>
      <c r="D20" s="15" t="n">
        <f aca="false">SUM(D15:D19)</f>
        <v>8</v>
      </c>
      <c r="E20" s="15" t="n">
        <f aca="false">SUM(E15:E19)</f>
        <v>7750</v>
      </c>
      <c r="F20" s="15" t="n">
        <f aca="false">SUM(F15:F19)</f>
        <v>387.5</v>
      </c>
      <c r="G20" s="15" t="n">
        <f aca="false">SUM(G15:G19)</f>
        <v>8137.5</v>
      </c>
    </row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2026-09-10T07:04:28Z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