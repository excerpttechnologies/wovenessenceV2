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Invoice Detai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3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<sst xmlns="http://schemas.openxmlformats.org/spreadsheetml/2006/main" count="65" uniqueCount="42">
  <si>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</si>
  <si>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</si>
  <si>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</si>
  <si>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</si>
  <si>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</si>
  <si>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</si>
  <si>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</si>
  <si>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</si>
  <si>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</si>
  <si>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</si>
  <si>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</si>
  <si>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</si>
  <si>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</si>
  <si>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</si>
  <si>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</si>
  <si>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</si>
  <si>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</si>
  <si>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</si>
  <si>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</si>
  <si>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</si>
  <si>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</si>
  <si>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</si>
  <si>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</si>
  <si>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</si>
  <si>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</si>
  <si>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8A3354</t>
  </si>
  <si>
    <t xml:space="preserve">10-2*2BLK</t>
  </si>
  <si>
    <t xml:space="preserve">520811</t>
  </si>
  <si>
    <t xml:space="preserve">GST 5 %</t>
  </si>
  <si>
    <t xml:space="preserve">Mtr</t>
  </si>
  <si>
    <t xml:space="preserve">8A3355</t>
  </si>
  <si>
    <t xml:space="preserve">8A3356</t>
  </si>
  <si>
    <t xml:space="preserve">8A3357</t>
  </si>
  <si>
    <t xml:space="preserve">8A3358</t>
  </si>
  <si>
    <t xml:space="preserve">10-2BY2</t>
  </si>
  <si>
    <t xml:space="preserve">8A3359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</si>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</sst>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6" min="14" style="0" width="12"/>
    <col collapsed="false" customWidth="true" hidden="false" outlineLevel="0" max="17" min="17" style="0" width="14"/>
    <col collapsed="false" customWidth="true" hidden="false" outlineLevel="0" max="20" min="18" style="0" width="12"/>
    <col collapsed="false" customWidth="true" hidden="false" outlineLevel="0" max="21" min="21" style="0" width="11"/>
    <col collapsed="false" customWidth="true" hidden="false" outlineLevel="0" max="22" min="22" style="0" width="12"/>
  </cols>
  <sheetData>
    <row r="1" customFormat="false" ht="21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21.7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3" t="n">
        <v>1</v>
      </c>
      <c r="B3" s="3" t="s">
        <v>25</v>
      </c>
      <c r="C3" s="3" t="s">
        <v>26</v>
      </c>
      <c r="D3" s="4" t="s">
        <v>27</v>
      </c>
      <c r="E3" s="3" t="s">
        <v>28</v>
      </c>
      <c r="F3" s="3" t="s">
        <v>29</v>
      </c>
      <c r="G3" s="5" t="n">
        <v>18</v>
      </c>
      <c r="H3" s="3" t="n">
        <v>4</v>
      </c>
      <c r="I3" s="5" t="n">
        <v>130</v>
      </c>
      <c r="J3" s="5" t="n">
        <v>0</v>
      </c>
      <c r="K3" s="5" t="n">
        <v>0</v>
      </c>
      <c r="L3" s="5" t="n">
        <v>130</v>
      </c>
      <c r="M3" s="5" t="n">
        <v>2340</v>
      </c>
      <c r="N3" s="5" t="n">
        <v>117</v>
      </c>
      <c r="O3" s="5" t="n">
        <v>0</v>
      </c>
      <c r="P3" s="5" t="n">
        <v>0</v>
      </c>
      <c r="Q3" s="5" t="n">
        <v>2457</v>
      </c>
      <c r="R3" s="5" t="n">
        <v>258</v>
      </c>
      <c r="S3" s="5" t="n">
        <v>149.5</v>
      </c>
      <c r="T3" s="5" t="n">
        <v>169</v>
      </c>
      <c r="U3" s="3"/>
      <c r="V3" s="3"/>
    </row>
    <row r="4" customFormat="false" ht="19.5" hidden="false" customHeight="true" outlineLevel="0" collapsed="false">
      <c r="A4" s="6" t="n">
        <v>2</v>
      </c>
      <c r="B4" s="6" t="s">
        <v>30</v>
      </c>
      <c r="C4" s="6" t="s">
        <v>26</v>
      </c>
      <c r="D4" s="7" t="s">
        <v>27</v>
      </c>
      <c r="E4" s="6" t="s">
        <v>28</v>
      </c>
      <c r="F4" s="6" t="s">
        <v>29</v>
      </c>
      <c r="G4" s="8" t="n">
        <v>18</v>
      </c>
      <c r="H4" s="6" t="n">
        <v>4</v>
      </c>
      <c r="I4" s="8" t="n">
        <v>130</v>
      </c>
      <c r="J4" s="8" t="n">
        <v>0</v>
      </c>
      <c r="K4" s="8" t="n">
        <v>0</v>
      </c>
      <c r="L4" s="8" t="n">
        <v>130</v>
      </c>
      <c r="M4" s="8" t="n">
        <v>2340</v>
      </c>
      <c r="N4" s="8" t="n">
        <v>117</v>
      </c>
      <c r="O4" s="8" t="n">
        <v>0</v>
      </c>
      <c r="P4" s="8" t="n">
        <v>0</v>
      </c>
      <c r="Q4" s="8" t="n">
        <v>2457</v>
      </c>
      <c r="R4" s="8" t="n">
        <v>258</v>
      </c>
      <c r="S4" s="8" t="n">
        <v>149.5</v>
      </c>
      <c r="T4" s="8" t="n">
        <v>169</v>
      </c>
      <c r="U4" s="6"/>
      <c r="V4" s="6"/>
    </row>
    <row r="5" customFormat="false" ht="19.5" hidden="false" customHeight="true" outlineLevel="0" collapsed="false">
      <c r="A5" s="3" t="n">
        <v>3</v>
      </c>
      <c r="B5" s="3" t="s">
        <v>31</v>
      </c>
      <c r="C5" s="3" t="s">
        <v>26</v>
      </c>
      <c r="D5" s="4" t="s">
        <v>27</v>
      </c>
      <c r="E5" s="3" t="s">
        <v>28</v>
      </c>
      <c r="F5" s="3" t="s">
        <v>29</v>
      </c>
      <c r="G5" s="5" t="n">
        <v>18</v>
      </c>
      <c r="H5" s="3" t="n">
        <v>4</v>
      </c>
      <c r="I5" s="5" t="n">
        <v>130</v>
      </c>
      <c r="J5" s="5" t="n">
        <v>0</v>
      </c>
      <c r="K5" s="5" t="n">
        <v>0</v>
      </c>
      <c r="L5" s="5" t="n">
        <v>130</v>
      </c>
      <c r="M5" s="5" t="n">
        <v>2340</v>
      </c>
      <c r="N5" s="5" t="n">
        <v>117</v>
      </c>
      <c r="O5" s="5" t="n">
        <v>0</v>
      </c>
      <c r="P5" s="5" t="n">
        <v>0</v>
      </c>
      <c r="Q5" s="5" t="n">
        <v>2457</v>
      </c>
      <c r="R5" s="5" t="n">
        <v>258</v>
      </c>
      <c r="S5" s="5" t="n">
        <v>149.5</v>
      </c>
      <c r="T5" s="5" t="n">
        <v>169</v>
      </c>
      <c r="U5" s="3"/>
      <c r="V5" s="3"/>
    </row>
    <row r="6" customFormat="false" ht="19.5" hidden="false" customHeight="true" outlineLevel="0" collapsed="false">
      <c r="A6" s="6" t="n">
        <v>4</v>
      </c>
      <c r="B6" s="6" t="s">
        <v>32</v>
      </c>
      <c r="C6" s="6" t="s">
        <v>26</v>
      </c>
      <c r="D6" s="7" t="s">
        <v>27</v>
      </c>
      <c r="E6" s="6" t="s">
        <v>28</v>
      </c>
      <c r="F6" s="6" t="s">
        <v>29</v>
      </c>
      <c r="G6" s="8" t="n">
        <v>18</v>
      </c>
      <c r="H6" s="6" t="n">
        <v>4</v>
      </c>
      <c r="I6" s="8" t="n">
        <v>130</v>
      </c>
      <c r="J6" s="8" t="n">
        <v>0</v>
      </c>
      <c r="K6" s="8" t="n">
        <v>0</v>
      </c>
      <c r="L6" s="8" t="n">
        <v>130</v>
      </c>
      <c r="M6" s="8" t="n">
        <v>2340</v>
      </c>
      <c r="N6" s="8" t="n">
        <v>117</v>
      </c>
      <c r="O6" s="8" t="n">
        <v>0</v>
      </c>
      <c r="P6" s="8" t="n">
        <v>0</v>
      </c>
      <c r="Q6" s="8" t="n">
        <v>2457</v>
      </c>
      <c r="R6" s="8" t="n">
        <v>258</v>
      </c>
      <c r="S6" s="8" t="n">
        <v>149.5</v>
      </c>
      <c r="T6" s="8" t="n">
        <v>169</v>
      </c>
      <c r="U6" s="6"/>
      <c r="V6" s="6"/>
    </row>
    <row r="7" customFormat="false" ht="19.5" hidden="false" customHeight="true" outlineLevel="0" collapsed="false">
      <c r="A7" s="3" t="n">
        <v>5</v>
      </c>
      <c r="B7" s="3" t="s">
        <v>33</v>
      </c>
      <c r="C7" s="3" t="s">
        <v>34</v>
      </c>
      <c r="D7" s="4" t="s">
        <v>27</v>
      </c>
      <c r="E7" s="3" t="s">
        <v>28</v>
      </c>
      <c r="F7" s="3" t="s">
        <v>29</v>
      </c>
      <c r="G7" s="5" t="n">
        <v>15</v>
      </c>
      <c r="H7" s="3" t="n">
        <v>2</v>
      </c>
      <c r="I7" s="5" t="n">
        <v>130</v>
      </c>
      <c r="J7" s="5" t="n">
        <v>0</v>
      </c>
      <c r="K7" s="5" t="n">
        <v>0</v>
      </c>
      <c r="L7" s="5" t="n">
        <v>130</v>
      </c>
      <c r="M7" s="5" t="n">
        <v>1950</v>
      </c>
      <c r="N7" s="5" t="n">
        <v>97.5</v>
      </c>
      <c r="O7" s="5" t="n">
        <v>0</v>
      </c>
      <c r="P7" s="5" t="n">
        <v>0</v>
      </c>
      <c r="Q7" s="5" t="n">
        <v>2047.5</v>
      </c>
      <c r="R7" s="5" t="n">
        <v>258</v>
      </c>
      <c r="S7" s="5" t="n">
        <v>149.5</v>
      </c>
      <c r="T7" s="5" t="n">
        <v>169</v>
      </c>
      <c r="U7" s="3"/>
      <c r="V7" s="3"/>
    </row>
    <row r="8" customFormat="false" ht="19.5" hidden="false" customHeight="true" outlineLevel="0" collapsed="false">
      <c r="A8" s="6" t="n">
        <v>6</v>
      </c>
      <c r="B8" s="6" t="s">
        <v>35</v>
      </c>
      <c r="C8" s="6" t="s">
        <v>34</v>
      </c>
      <c r="D8" s="7" t="s">
        <v>27</v>
      </c>
      <c r="E8" s="6" t="s">
        <v>28</v>
      </c>
      <c r="F8" s="6" t="s">
        <v>29</v>
      </c>
      <c r="G8" s="8" t="n">
        <v>16</v>
      </c>
      <c r="H8" s="6" t="n">
        <v>2</v>
      </c>
      <c r="I8" s="8" t="n">
        <v>130</v>
      </c>
      <c r="J8" s="8" t="n">
        <v>0</v>
      </c>
      <c r="K8" s="8" t="n">
        <v>0</v>
      </c>
      <c r="L8" s="8" t="n">
        <v>130</v>
      </c>
      <c r="M8" s="8" t="n">
        <v>2080</v>
      </c>
      <c r="N8" s="8" t="n">
        <v>104</v>
      </c>
      <c r="O8" s="8" t="n">
        <v>0</v>
      </c>
      <c r="P8" s="8" t="n">
        <v>0</v>
      </c>
      <c r="Q8" s="8" t="n">
        <v>2184</v>
      </c>
      <c r="R8" s="8" t="n">
        <v>258</v>
      </c>
      <c r="S8" s="8" t="n">
        <v>149.5</v>
      </c>
      <c r="T8" s="8" t="n">
        <v>169</v>
      </c>
      <c r="U8" s="6"/>
      <c r="V8" s="6"/>
    </row>
    <row r="9" customFormat="false" ht="15" hidden="false" customHeight="true" outlineLevel="0" collapsed="false">
      <c r="A9" s="9" t="s">
        <v>36</v>
      </c>
      <c r="B9" s="10"/>
      <c r="C9" s="10"/>
      <c r="D9" s="11"/>
      <c r="E9" s="10"/>
      <c r="F9" s="10"/>
      <c r="G9" s="12" t="n">
        <f aca="false">SUM(G3:G8)</f>
        <v>103</v>
      </c>
      <c r="H9" s="10"/>
      <c r="I9" s="12"/>
      <c r="J9" s="12"/>
      <c r="K9" s="12"/>
      <c r="L9" s="12"/>
      <c r="M9" s="12" t="n">
        <f aca="false">SUM(M3:M8)</f>
        <v>13390</v>
      </c>
      <c r="N9" s="12" t="n">
        <f aca="false">SUM(N3:N8)</f>
        <v>669.5</v>
      </c>
      <c r="O9" s="12" t="n">
        <f aca="false">SUM(O3:O8)</f>
        <v>0</v>
      </c>
      <c r="P9" s="12" t="n">
        <f aca="false">SUM(P3:P8)</f>
        <v>0</v>
      </c>
      <c r="Q9" s="12" t="n">
        <f aca="false">SUM(Q3:Q8)</f>
        <v>14059.5</v>
      </c>
      <c r="R9" s="12"/>
      <c r="S9" s="12"/>
      <c r="T9" s="12"/>
      <c r="U9" s="10"/>
      <c r="V9" s="10"/>
    </row>
    <row r="11" customFormat="false" ht="21.75" hidden="false" customHeight="true" outlineLevel="0" collapsed="false">
      <c r="A11" s="13" t="s">
        <v>37</v>
      </c>
    </row>
    <row r="12" customFormat="false" ht="24" hidden="false" customHeight="true" outlineLevel="0" collapsed="false">
      <c r="A12" s="2" t="s">
        <v>0</v>
      </c>
      <c r="B12" s="2" t="s">
        <v>38</v>
      </c>
      <c r="C12" s="2" t="s">
        <v>39</v>
      </c>
      <c r="D12" s="2" t="s">
        <v>40</v>
      </c>
      <c r="E12" s="2" t="s">
        <v>41</v>
      </c>
      <c r="F12" s="2" t="s">
        <v>8</v>
      </c>
      <c r="G12" s="2" t="s">
        <v>9</v>
      </c>
    </row>
    <row r="13" customFormat="false" ht="19.5" hidden="false" customHeight="true" outlineLevel="0" collapsed="false">
      <c r="A13" s="14" t="n">
        <v>1</v>
      </c>
      <c r="B13" s="14" t="n">
        <v>1</v>
      </c>
      <c r="C13" s="14" t="str">
        <f aca="false">C3</f>
        <v>10-2*2BLK</v>
      </c>
      <c r="D13" s="15" t="n">
        <f aca="false">SUM(G3:G6)</f>
        <v>72</v>
      </c>
      <c r="E13" s="15" t="n">
        <f aca="false">SUM(M3:M6)</f>
        <v>9360</v>
      </c>
      <c r="F13" s="15" t="n">
        <f aca="false">ROUND(E13*5%,2)</f>
        <v>468</v>
      </c>
      <c r="G13" s="15" t="n">
        <f aca="false">E13+F13</f>
        <v>9828</v>
      </c>
    </row>
    <row r="14" customFormat="false" ht="19.5" hidden="false" customHeight="true" outlineLevel="0" collapsed="false">
      <c r="A14" s="14" t="n">
        <v>2</v>
      </c>
      <c r="B14" s="14" t="n">
        <v>2</v>
      </c>
      <c r="C14" s="14" t="str">
        <f aca="false">C7</f>
        <v>10-2BY2</v>
      </c>
      <c r="D14" s="15" t="n">
        <f aca="false">SUM(G7:G8)</f>
        <v>31</v>
      </c>
      <c r="E14" s="15" t="n">
        <f aca="false">SUM(M7:M8)</f>
        <v>4030</v>
      </c>
      <c r="F14" s="15" t="n">
        <f aca="false">ROUND(E14*5%,2)</f>
        <v>201.5</v>
      </c>
      <c r="G14" s="15" t="n">
        <f aca="false">E14+F14</f>
        <v>4231.5</v>
      </c>
    </row>
    <row r="15" customFormat="false" ht="19.5" hidden="false" customHeight="true" outlineLevel="0" collapsed="false">
      <c r="A15" s="16" t="s">
        <v>36</v>
      </c>
      <c r="B15" s="17"/>
      <c r="C15" s="17"/>
      <c r="D15" s="18" t="n">
        <f aca="false">SUM(D13:D14)</f>
        <v>103</v>
      </c>
      <c r="E15" s="18" t="n">
        <f aca="false">SUM(E13:E14)</f>
        <v>13390</v>
      </c>
      <c r="F15" s="18" t="n">
        <f aca="false">SUM(F13:F14)</f>
        <v>669.5</v>
      </c>
      <c r="G15" s="18" t="n">
        <f aca="false">SUM(G13:G14)</f>
        <v>14059.5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2026-09-09T09:27:36Z</dcterms:created>
  <dc:creator>openpyxl</dc:creator>
  <dc:description/>
  <dc:language>en-US</dc:language>
  <cp:lastModifiedBy/>
  <dcterms:modified xsi:type="dcterms:W3CDTF">2026-09-10T07:06:04Z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