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0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b val="1"/>
      <color rgb="00FFFFFF"/>
      <sz val="11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6EEF8"/>
        <bgColor rgb="00E6EEF8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double">
        <color rgb="001B365D"/>
      </bottom>
      <diagonal/>
    </border>
    <border>
      <left/>
      <right style="thin">
        <color rgb="00CCCCCC"/>
      </right>
      <top style="thin">
        <color rgb="00CCCCCC"/>
      </top>
      <bottom style="double">
        <color rgb="001B365D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164" fontId="3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0" fontId="4" fillId="6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7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right" vertical="center"/>
    </xf>
    <xf numFmtId="0" fontId="0" fillId="8" borderId="16" pivotButton="0" quotePrefix="0" xfId="0"/>
    <xf numFmtId="0" fontId="6" fillId="0" borderId="16" applyAlignment="1" pivotButton="0" quotePrefix="0" xfId="0">
      <alignment horizontal="right"/>
    </xf>
    <xf numFmtId="2" fontId="6" fillId="8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8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31" customWidth="1" min="11" max="11"/>
    <col width="21" customWidth="1" min="12" max="12"/>
    <col width="21" customWidth="1" min="13" max="13"/>
    <col width="22" customWidth="1" min="14" max="14"/>
    <col width="15" customWidth="1" min="15" max="15"/>
    <col width="15" customWidth="1" min="16" max="16"/>
    <col width="21" customWidth="1" min="17" max="17"/>
    <col width="15" customWidth="1" min="18" max="18"/>
    <col width="15" customWidth="1" min="19" max="19"/>
    <col width="15" customWidth="1" min="20" max="20"/>
    <col width="11" customWidth="1" min="21" max="21"/>
    <col width="11" customWidth="1" min="22" max="22"/>
  </cols>
  <sheetData>
    <row r="1" ht="20" customHeight="1">
      <c r="A1" s="13" t="inlineStr">
        <is>
          <t>Sl No</t>
        </is>
      </c>
      <c r="B1" s="13" t="inlineStr">
        <is>
          <t>Item</t>
        </is>
      </c>
      <c r="C1" s="14" t="n"/>
      <c r="D1" s="14" t="n"/>
      <c r="E1" s="14" t="n"/>
      <c r="F1" s="15" t="n"/>
      <c r="G1" s="13" t="inlineStr">
        <is>
          <t>QTY/MTR</t>
        </is>
      </c>
      <c r="H1" s="13" t="inlineStr">
        <is>
          <t>No. of Cuts</t>
        </is>
      </c>
      <c r="I1" s="13" t="inlineStr">
        <is>
          <t>Purchase Rate</t>
        </is>
      </c>
      <c r="J1" s="13" t="inlineStr">
        <is>
          <t>Discount</t>
        </is>
      </c>
      <c r="K1" s="15" t="n"/>
      <c r="L1" s="13" t="inlineStr">
        <is>
          <t>Final Rate</t>
        </is>
      </c>
      <c r="M1" s="13" t="inlineStr">
        <is>
          <t>Before Tax</t>
        </is>
      </c>
      <c r="N1" s="13" t="inlineStr">
        <is>
          <t>IGST</t>
        </is>
      </c>
      <c r="O1" s="13" t="inlineStr">
        <is>
          <t>CGST</t>
        </is>
      </c>
      <c r="P1" s="13" t="inlineStr">
        <is>
          <t>SGST</t>
        </is>
      </c>
      <c r="Q1" s="13" t="inlineStr">
        <is>
          <t>Net Amount</t>
        </is>
      </c>
      <c r="R1" s="13" t="inlineStr">
        <is>
          <t>RSP</t>
        </is>
      </c>
      <c r="S1" s="13" t="inlineStr">
        <is>
          <t>WSP</t>
        </is>
      </c>
      <c r="T1" s="13" t="inlineStr">
        <is>
          <t>DP</t>
        </is>
      </c>
      <c r="U1" s="13" t="inlineStr">
        <is>
          <t>Variant</t>
        </is>
      </c>
      <c r="V1" s="13" t="inlineStr">
        <is>
          <t>Action</t>
        </is>
      </c>
    </row>
    <row r="2" ht="20" customHeight="1">
      <c r="A2" s="16" t="n"/>
      <c r="B2" s="13" t="inlineStr">
        <is>
          <t>Code</t>
        </is>
      </c>
      <c r="C2" s="13" t="inlineStr">
        <is>
          <t>Name</t>
        </is>
      </c>
      <c r="D2" s="13" t="inlineStr">
        <is>
          <t>HSN</t>
        </is>
      </c>
      <c r="E2" s="13" t="inlineStr">
        <is>
          <t>GST Slab</t>
        </is>
      </c>
      <c r="F2" s="13" t="inlineStr">
        <is>
          <t>UOM</t>
        </is>
      </c>
      <c r="G2" s="16" t="n"/>
      <c r="H2" s="16" t="n"/>
      <c r="I2" s="16" t="n"/>
      <c r="J2" s="13" t="inlineStr">
        <is>
          <t>%</t>
        </is>
      </c>
      <c r="K2" s="13" t="inlineStr">
        <is>
          <t>R.Off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3" ht="20" customHeight="1">
      <c r="A3" s="2" t="n">
        <v>1</v>
      </c>
      <c r="B3" s="2" t="inlineStr">
        <is>
          <t>8A2337</t>
        </is>
      </c>
      <c r="C3" s="3" t="inlineStr">
        <is>
          <t>4-F-CTN</t>
        </is>
      </c>
      <c r="D3" s="2" t="inlineStr">
        <is>
          <t>520812</t>
        </is>
      </c>
      <c r="E3" s="2" t="inlineStr">
        <is>
          <t>GST 5 %</t>
        </is>
      </c>
      <c r="F3" s="2" t="inlineStr">
        <is>
          <t>Mtr</t>
        </is>
      </c>
      <c r="G3" s="4" t="n">
        <v>11</v>
      </c>
      <c r="H3" s="2" t="n">
        <v>45</v>
      </c>
      <c r="I3" s="5" t="n">
        <v>93</v>
      </c>
      <c r="J3" s="5" t="n">
        <v>2.79</v>
      </c>
      <c r="K3" s="5">
        <f>ROUND(G3*I3*(J3/100), 2)</f>
        <v/>
      </c>
      <c r="L3" s="5">
        <f>ROUND(I3-K3, 2)</f>
        <v/>
      </c>
      <c r="M3" s="5">
        <f>ROUND(G3*L3, 2)</f>
        <v/>
      </c>
      <c r="N3" s="5">
        <f>ROUND(M3*0.05, 2)</f>
        <v/>
      </c>
      <c r="O3" s="5" t="n">
        <v>0</v>
      </c>
      <c r="P3" s="5" t="n">
        <v>0</v>
      </c>
      <c r="Q3" s="5">
        <f>ROUND(M3+N3, 2)</f>
        <v/>
      </c>
      <c r="R3" s="5" t="n">
        <v>186</v>
      </c>
      <c r="S3" s="5" t="n">
        <v>106.95</v>
      </c>
      <c r="T3" s="5" t="n">
        <v>120.9</v>
      </c>
      <c r="U3" s="2" t="inlineStr"/>
      <c r="V3" s="2" t="inlineStr"/>
    </row>
    <row r="4" ht="20" customHeight="1">
      <c r="A4" s="6" t="n">
        <v>2</v>
      </c>
      <c r="B4" s="6" t="inlineStr">
        <is>
          <t>8A2338</t>
        </is>
      </c>
      <c r="C4" s="7" t="inlineStr">
        <is>
          <t>4-F-CTN</t>
        </is>
      </c>
      <c r="D4" s="6" t="inlineStr">
        <is>
          <t>520812</t>
        </is>
      </c>
      <c r="E4" s="6" t="inlineStr">
        <is>
          <t>GST 5 %</t>
        </is>
      </c>
      <c r="F4" s="6" t="inlineStr">
        <is>
          <t>Mtr</t>
        </is>
      </c>
      <c r="G4" s="8" t="n">
        <v>10</v>
      </c>
      <c r="H4" s="6" t="n">
        <v>45</v>
      </c>
      <c r="I4" s="9" t="n">
        <v>93</v>
      </c>
      <c r="J4" s="9" t="n">
        <v>2.79</v>
      </c>
      <c r="K4" s="9">
        <f>ROUND(G4*I4*(J4/100), 2)</f>
        <v/>
      </c>
      <c r="L4" s="9">
        <f>ROUND(I4-K4, 2)</f>
        <v/>
      </c>
      <c r="M4" s="9">
        <f>ROUND(G4*L4, 2)</f>
        <v/>
      </c>
      <c r="N4" s="9">
        <f>ROUND(M4*0.05, 2)</f>
        <v/>
      </c>
      <c r="O4" s="9" t="n">
        <v>0</v>
      </c>
      <c r="P4" s="9" t="n">
        <v>0</v>
      </c>
      <c r="Q4" s="9">
        <f>ROUND(M4+N4, 2)</f>
        <v/>
      </c>
      <c r="R4" s="9" t="n">
        <v>186</v>
      </c>
      <c r="S4" s="9" t="n">
        <v>106.95</v>
      </c>
      <c r="T4" s="9" t="n">
        <v>120.9</v>
      </c>
      <c r="U4" s="6" t="inlineStr"/>
      <c r="V4" s="6" t="inlineStr"/>
    </row>
    <row r="5" ht="20" customHeight="1">
      <c r="A5" s="2" t="n">
        <v>3</v>
      </c>
      <c r="B5" s="2" t="inlineStr">
        <is>
          <t>8A2339</t>
        </is>
      </c>
      <c r="C5" s="3" t="inlineStr">
        <is>
          <t>4-F-CTN</t>
        </is>
      </c>
      <c r="D5" s="2" t="inlineStr">
        <is>
          <t>520812</t>
        </is>
      </c>
      <c r="E5" s="2" t="inlineStr">
        <is>
          <t>GST 5 %</t>
        </is>
      </c>
      <c r="F5" s="2" t="inlineStr">
        <is>
          <t>Mtr</t>
        </is>
      </c>
      <c r="G5" s="4" t="n">
        <v>11</v>
      </c>
      <c r="H5" s="2" t="n">
        <v>45</v>
      </c>
      <c r="I5" s="5" t="n">
        <v>93</v>
      </c>
      <c r="J5" s="5" t="n">
        <v>2.79</v>
      </c>
      <c r="K5" s="5">
        <f>ROUND(G5*I5*(J5/100), 2)</f>
        <v/>
      </c>
      <c r="L5" s="5">
        <f>ROUND(I5-K5, 2)</f>
        <v/>
      </c>
      <c r="M5" s="5">
        <f>ROUND(G5*L5, 2)</f>
        <v/>
      </c>
      <c r="N5" s="5">
        <f>ROUND(M5*0.05, 2)</f>
        <v/>
      </c>
      <c r="O5" s="5" t="n">
        <v>0</v>
      </c>
      <c r="P5" s="5" t="n">
        <v>0</v>
      </c>
      <c r="Q5" s="5">
        <f>ROUND(M5+N5, 2)</f>
        <v/>
      </c>
      <c r="R5" s="5" t="n">
        <v>186</v>
      </c>
      <c r="S5" s="5" t="n">
        <v>106.95</v>
      </c>
      <c r="T5" s="5" t="n">
        <v>120.9</v>
      </c>
      <c r="U5" s="2" t="inlineStr"/>
      <c r="V5" s="2" t="inlineStr"/>
    </row>
    <row r="6" ht="20" customHeight="1">
      <c r="A6" s="6" t="n">
        <v>4</v>
      </c>
      <c r="B6" s="6" t="inlineStr">
        <is>
          <t>8A2340</t>
        </is>
      </c>
      <c r="C6" s="7" t="inlineStr">
        <is>
          <t>4-F-CTN</t>
        </is>
      </c>
      <c r="D6" s="6" t="inlineStr">
        <is>
          <t>520812</t>
        </is>
      </c>
      <c r="E6" s="6" t="inlineStr">
        <is>
          <t>GST 5 %</t>
        </is>
      </c>
      <c r="F6" s="6" t="inlineStr">
        <is>
          <t>Mtr</t>
        </is>
      </c>
      <c r="G6" s="8" t="n">
        <v>11</v>
      </c>
      <c r="H6" s="6" t="n">
        <v>45</v>
      </c>
      <c r="I6" s="9" t="n">
        <v>93</v>
      </c>
      <c r="J6" s="9" t="n">
        <v>2.79</v>
      </c>
      <c r="K6" s="9">
        <f>ROUND(G6*I6*(J6/100), 2)</f>
        <v/>
      </c>
      <c r="L6" s="9">
        <f>ROUND(I6-K6, 2)</f>
        <v/>
      </c>
      <c r="M6" s="9">
        <f>ROUND(G6*L6, 2)</f>
        <v/>
      </c>
      <c r="N6" s="9">
        <f>ROUND(M6*0.05, 2)</f>
        <v/>
      </c>
      <c r="O6" s="9" t="n">
        <v>0</v>
      </c>
      <c r="P6" s="9" t="n">
        <v>0</v>
      </c>
      <c r="Q6" s="9">
        <f>ROUND(M6+N6, 2)</f>
        <v/>
      </c>
      <c r="R6" s="9" t="n">
        <v>186</v>
      </c>
      <c r="S6" s="9" t="n">
        <v>106.95</v>
      </c>
      <c r="T6" s="9" t="n">
        <v>120.9</v>
      </c>
      <c r="U6" s="6" t="inlineStr"/>
      <c r="V6" s="6" t="inlineStr"/>
    </row>
    <row r="7" ht="20" customHeight="1">
      <c r="A7" s="2" t="n">
        <v>5</v>
      </c>
      <c r="B7" s="2" t="inlineStr">
        <is>
          <t>8A2341</t>
        </is>
      </c>
      <c r="C7" s="3" t="inlineStr">
        <is>
          <t>4-F-CTN</t>
        </is>
      </c>
      <c r="D7" s="2" t="inlineStr">
        <is>
          <t>520812</t>
        </is>
      </c>
      <c r="E7" s="2" t="inlineStr">
        <is>
          <t>GST 5 %</t>
        </is>
      </c>
      <c r="F7" s="2" t="inlineStr">
        <is>
          <t>Mtr</t>
        </is>
      </c>
      <c r="G7" s="4" t="n">
        <v>10</v>
      </c>
      <c r="H7" s="2" t="n">
        <v>45</v>
      </c>
      <c r="I7" s="5" t="n">
        <v>93</v>
      </c>
      <c r="J7" s="5" t="n">
        <v>2.79</v>
      </c>
      <c r="K7" s="5">
        <f>ROUND(G7*I7*(J7/100), 2)</f>
        <v/>
      </c>
      <c r="L7" s="5">
        <f>ROUND(I7-K7, 2)</f>
        <v/>
      </c>
      <c r="M7" s="5">
        <f>ROUND(G7*L7, 2)</f>
        <v/>
      </c>
      <c r="N7" s="5">
        <f>ROUND(M7*0.05, 2)</f>
        <v/>
      </c>
      <c r="O7" s="5" t="n">
        <v>0</v>
      </c>
      <c r="P7" s="5" t="n">
        <v>0</v>
      </c>
      <c r="Q7" s="5">
        <f>ROUND(M7+N7, 2)</f>
        <v/>
      </c>
      <c r="R7" s="5" t="n">
        <v>186</v>
      </c>
      <c r="S7" s="5" t="n">
        <v>106.95</v>
      </c>
      <c r="T7" s="5" t="n">
        <v>120.9</v>
      </c>
      <c r="U7" s="2" t="inlineStr"/>
      <c r="V7" s="2" t="inlineStr"/>
    </row>
    <row r="8" ht="20" customHeight="1">
      <c r="A8" s="6" t="n">
        <v>6</v>
      </c>
      <c r="B8" s="6" t="inlineStr">
        <is>
          <t>8A2342</t>
        </is>
      </c>
      <c r="C8" s="7" t="inlineStr">
        <is>
          <t>4-F-CTN</t>
        </is>
      </c>
      <c r="D8" s="6" t="inlineStr">
        <is>
          <t>520812</t>
        </is>
      </c>
      <c r="E8" s="6" t="inlineStr">
        <is>
          <t>GST 5 %</t>
        </is>
      </c>
      <c r="F8" s="6" t="inlineStr">
        <is>
          <t>Mtr</t>
        </is>
      </c>
      <c r="G8" s="8" t="n">
        <v>10</v>
      </c>
      <c r="H8" s="6" t="n">
        <v>45</v>
      </c>
      <c r="I8" s="9" t="n">
        <v>93</v>
      </c>
      <c r="J8" s="9" t="n">
        <v>2.79</v>
      </c>
      <c r="K8" s="9">
        <f>ROUND(G8*I8*(J8/100), 2)</f>
        <v/>
      </c>
      <c r="L8" s="9">
        <f>ROUND(I8-K8, 2)</f>
        <v/>
      </c>
      <c r="M8" s="9">
        <f>ROUND(G8*L8, 2)</f>
        <v/>
      </c>
      <c r="N8" s="9">
        <f>ROUND(M8*0.05, 2)</f>
        <v/>
      </c>
      <c r="O8" s="9" t="n">
        <v>0</v>
      </c>
      <c r="P8" s="9" t="n">
        <v>0</v>
      </c>
      <c r="Q8" s="9">
        <f>ROUND(M8+N8, 2)</f>
        <v/>
      </c>
      <c r="R8" s="9" t="n">
        <v>186</v>
      </c>
      <c r="S8" s="9" t="n">
        <v>106.95</v>
      </c>
      <c r="T8" s="9" t="n">
        <v>120.9</v>
      </c>
      <c r="U8" s="6" t="inlineStr"/>
      <c r="V8" s="6" t="inlineStr"/>
    </row>
    <row r="9" ht="20" customHeight="1">
      <c r="A9" s="2" t="n">
        <v>7</v>
      </c>
      <c r="B9" s="2" t="inlineStr">
        <is>
          <t>8A2343</t>
        </is>
      </c>
      <c r="C9" s="3" t="inlineStr">
        <is>
          <t>4-F-CTN</t>
        </is>
      </c>
      <c r="D9" s="2" t="inlineStr">
        <is>
          <t>520812</t>
        </is>
      </c>
      <c r="E9" s="2" t="inlineStr">
        <is>
          <t>GST 5 %</t>
        </is>
      </c>
      <c r="F9" s="2" t="inlineStr">
        <is>
          <t>Mtr</t>
        </is>
      </c>
      <c r="G9" s="4" t="n">
        <v>13</v>
      </c>
      <c r="H9" s="2" t="n">
        <v>45</v>
      </c>
      <c r="I9" s="5" t="n">
        <v>93</v>
      </c>
      <c r="J9" s="5" t="n">
        <v>2.79</v>
      </c>
      <c r="K9" s="5">
        <f>ROUND(G9*I9*(J9/100), 2)</f>
        <v/>
      </c>
      <c r="L9" s="5">
        <f>ROUND(I9-K9, 2)</f>
        <v/>
      </c>
      <c r="M9" s="5">
        <f>ROUND(G9*L9, 2)</f>
        <v/>
      </c>
      <c r="N9" s="5">
        <f>ROUND(M9*0.05, 2)</f>
        <v/>
      </c>
      <c r="O9" s="5" t="n">
        <v>0</v>
      </c>
      <c r="P9" s="5" t="n">
        <v>0</v>
      </c>
      <c r="Q9" s="5">
        <f>ROUND(M9+N9, 2)</f>
        <v/>
      </c>
      <c r="R9" s="5" t="n">
        <v>186</v>
      </c>
      <c r="S9" s="5" t="n">
        <v>106.95</v>
      </c>
      <c r="T9" s="5" t="n">
        <v>120.9</v>
      </c>
      <c r="U9" s="2" t="inlineStr"/>
      <c r="V9" s="2" t="inlineStr"/>
    </row>
    <row r="10" ht="20" customHeight="1">
      <c r="A10" s="6" t="n">
        <v>8</v>
      </c>
      <c r="B10" s="6" t="inlineStr">
        <is>
          <t>8A2344</t>
        </is>
      </c>
      <c r="C10" s="7" t="inlineStr">
        <is>
          <t>4-F-CTN</t>
        </is>
      </c>
      <c r="D10" s="6" t="inlineStr">
        <is>
          <t>520812</t>
        </is>
      </c>
      <c r="E10" s="6" t="inlineStr">
        <is>
          <t>GST 5 %</t>
        </is>
      </c>
      <c r="F10" s="6" t="inlineStr">
        <is>
          <t>Mtr</t>
        </is>
      </c>
      <c r="G10" s="8" t="n">
        <v>12</v>
      </c>
      <c r="H10" s="6" t="n">
        <v>45</v>
      </c>
      <c r="I10" s="9" t="n">
        <v>93</v>
      </c>
      <c r="J10" s="9" t="n">
        <v>2.79</v>
      </c>
      <c r="K10" s="9">
        <f>ROUND(G10*I10*(J10/100), 2)</f>
        <v/>
      </c>
      <c r="L10" s="9">
        <f>ROUND(I10-K10, 2)</f>
        <v/>
      </c>
      <c r="M10" s="9">
        <f>ROUND(G10*L10, 2)</f>
        <v/>
      </c>
      <c r="N10" s="9">
        <f>ROUND(M10*0.05, 2)</f>
        <v/>
      </c>
      <c r="O10" s="9" t="n">
        <v>0</v>
      </c>
      <c r="P10" s="9" t="n">
        <v>0</v>
      </c>
      <c r="Q10" s="9">
        <f>ROUND(M10+N10, 2)</f>
        <v/>
      </c>
      <c r="R10" s="9" t="n">
        <v>186</v>
      </c>
      <c r="S10" s="9" t="n">
        <v>106.95</v>
      </c>
      <c r="T10" s="9" t="n">
        <v>120.9</v>
      </c>
      <c r="U10" s="6" t="inlineStr"/>
      <c r="V10" s="6" t="inlineStr"/>
    </row>
    <row r="11" ht="20" customHeight="1">
      <c r="A11" s="2" t="n">
        <v>9</v>
      </c>
      <c r="B11" s="2" t="inlineStr">
        <is>
          <t>8A2345</t>
        </is>
      </c>
      <c r="C11" s="3" t="inlineStr">
        <is>
          <t>4-F-CTN</t>
        </is>
      </c>
      <c r="D11" s="2" t="inlineStr">
        <is>
          <t>520812</t>
        </is>
      </c>
      <c r="E11" s="2" t="inlineStr">
        <is>
          <t>GST 5 %</t>
        </is>
      </c>
      <c r="F11" s="2" t="inlineStr">
        <is>
          <t>Mtr</t>
        </is>
      </c>
      <c r="G11" s="4" t="n">
        <v>10</v>
      </c>
      <c r="H11" s="2" t="n">
        <v>45</v>
      </c>
      <c r="I11" s="5" t="n">
        <v>93</v>
      </c>
      <c r="J11" s="5" t="n">
        <v>2.79</v>
      </c>
      <c r="K11" s="5">
        <f>ROUND(G11*I11*(J11/100), 2)</f>
        <v/>
      </c>
      <c r="L11" s="5">
        <f>ROUND(I11-K11, 2)</f>
        <v/>
      </c>
      <c r="M11" s="5">
        <f>ROUND(G11*L11, 2)</f>
        <v/>
      </c>
      <c r="N11" s="5">
        <f>ROUND(M11*0.05, 2)</f>
        <v/>
      </c>
      <c r="O11" s="5" t="n">
        <v>0</v>
      </c>
      <c r="P11" s="5" t="n">
        <v>0</v>
      </c>
      <c r="Q11" s="5">
        <f>ROUND(M11+N11, 2)</f>
        <v/>
      </c>
      <c r="R11" s="5" t="n">
        <v>186</v>
      </c>
      <c r="S11" s="5" t="n">
        <v>106.95</v>
      </c>
      <c r="T11" s="5" t="n">
        <v>120.9</v>
      </c>
      <c r="U11" s="2" t="inlineStr"/>
      <c r="V11" s="2" t="inlineStr"/>
    </row>
    <row r="12" ht="20" customHeight="1">
      <c r="A12" s="6" t="n">
        <v>10</v>
      </c>
      <c r="B12" s="6" t="inlineStr">
        <is>
          <t>8A2346</t>
        </is>
      </c>
      <c r="C12" s="7" t="inlineStr">
        <is>
          <t>4-F-CTN</t>
        </is>
      </c>
      <c r="D12" s="6" t="inlineStr">
        <is>
          <t>520812</t>
        </is>
      </c>
      <c r="E12" s="6" t="inlineStr">
        <is>
          <t>GST 5 %</t>
        </is>
      </c>
      <c r="F12" s="6" t="inlineStr">
        <is>
          <t>Mtr</t>
        </is>
      </c>
      <c r="G12" s="8" t="n">
        <v>10</v>
      </c>
      <c r="H12" s="6" t="n">
        <v>45</v>
      </c>
      <c r="I12" s="9" t="n">
        <v>93</v>
      </c>
      <c r="J12" s="9" t="n">
        <v>2.79</v>
      </c>
      <c r="K12" s="9">
        <f>ROUND(G12*I12*(J12/100), 2)</f>
        <v/>
      </c>
      <c r="L12" s="9">
        <f>ROUND(I12-K12, 2)</f>
        <v/>
      </c>
      <c r="M12" s="9">
        <f>ROUND(G12*L12, 2)</f>
        <v/>
      </c>
      <c r="N12" s="9">
        <f>ROUND(M12*0.05, 2)</f>
        <v/>
      </c>
      <c r="O12" s="9" t="n">
        <v>0</v>
      </c>
      <c r="P12" s="9" t="n">
        <v>0</v>
      </c>
      <c r="Q12" s="9">
        <f>ROUND(M12+N12, 2)</f>
        <v/>
      </c>
      <c r="R12" s="9" t="n">
        <v>186</v>
      </c>
      <c r="S12" s="9" t="n">
        <v>106.95</v>
      </c>
      <c r="T12" s="9" t="n">
        <v>120.9</v>
      </c>
      <c r="U12" s="6" t="inlineStr"/>
      <c r="V12" s="6" t="inlineStr"/>
    </row>
    <row r="13" ht="20" customHeight="1">
      <c r="A13" s="2" t="n">
        <v>11</v>
      </c>
      <c r="B13" s="2" t="inlineStr">
        <is>
          <t>8A2347</t>
        </is>
      </c>
      <c r="C13" s="3" t="inlineStr">
        <is>
          <t>4-F-CTN</t>
        </is>
      </c>
      <c r="D13" s="2" t="inlineStr">
        <is>
          <t>520812</t>
        </is>
      </c>
      <c r="E13" s="2" t="inlineStr">
        <is>
          <t>GST 5 %</t>
        </is>
      </c>
      <c r="F13" s="2" t="inlineStr">
        <is>
          <t>Mtr</t>
        </is>
      </c>
      <c r="G13" s="4" t="n">
        <v>9</v>
      </c>
      <c r="H13" s="2" t="n">
        <v>45</v>
      </c>
      <c r="I13" s="5" t="n">
        <v>93</v>
      </c>
      <c r="J13" s="5" t="n">
        <v>2.79</v>
      </c>
      <c r="K13" s="5">
        <f>ROUND(G13*I13*(J13/100), 2)</f>
        <v/>
      </c>
      <c r="L13" s="5">
        <f>ROUND(I13-K13, 2)</f>
        <v/>
      </c>
      <c r="M13" s="5">
        <f>ROUND(G13*L13, 2)</f>
        <v/>
      </c>
      <c r="N13" s="5">
        <f>ROUND(M13*0.05, 2)</f>
        <v/>
      </c>
      <c r="O13" s="5" t="n">
        <v>0</v>
      </c>
      <c r="P13" s="5" t="n">
        <v>0</v>
      </c>
      <c r="Q13" s="5">
        <f>ROUND(M13+N13, 2)</f>
        <v/>
      </c>
      <c r="R13" s="5" t="n">
        <v>186</v>
      </c>
      <c r="S13" s="5" t="n">
        <v>106.95</v>
      </c>
      <c r="T13" s="5" t="n">
        <v>120.9</v>
      </c>
      <c r="U13" s="2" t="inlineStr"/>
      <c r="V13" s="2" t="inlineStr"/>
    </row>
    <row r="14" ht="20" customHeight="1">
      <c r="A14" s="6" t="n">
        <v>12</v>
      </c>
      <c r="B14" s="6" t="inlineStr">
        <is>
          <t>8A2348</t>
        </is>
      </c>
      <c r="C14" s="7" t="inlineStr">
        <is>
          <t>4-F-CTN</t>
        </is>
      </c>
      <c r="D14" s="6" t="inlineStr">
        <is>
          <t>520812</t>
        </is>
      </c>
      <c r="E14" s="6" t="inlineStr">
        <is>
          <t>GST 5 %</t>
        </is>
      </c>
      <c r="F14" s="6" t="inlineStr">
        <is>
          <t>Mtr</t>
        </is>
      </c>
      <c r="G14" s="8" t="n">
        <v>9</v>
      </c>
      <c r="H14" s="6" t="n">
        <v>45</v>
      </c>
      <c r="I14" s="9" t="n">
        <v>93</v>
      </c>
      <c r="J14" s="9" t="n">
        <v>2.79</v>
      </c>
      <c r="K14" s="9">
        <f>ROUND(G14*I14*(J14/100), 2)</f>
        <v/>
      </c>
      <c r="L14" s="9">
        <f>ROUND(I14-K14, 2)</f>
        <v/>
      </c>
      <c r="M14" s="9">
        <f>ROUND(G14*L14, 2)</f>
        <v/>
      </c>
      <c r="N14" s="9">
        <f>ROUND(M14*0.05, 2)</f>
        <v/>
      </c>
      <c r="O14" s="9" t="n">
        <v>0</v>
      </c>
      <c r="P14" s="9" t="n">
        <v>0</v>
      </c>
      <c r="Q14" s="9">
        <f>ROUND(M14+N14, 2)</f>
        <v/>
      </c>
      <c r="R14" s="9" t="n">
        <v>186</v>
      </c>
      <c r="S14" s="9" t="n">
        <v>106.95</v>
      </c>
      <c r="T14" s="9" t="n">
        <v>120.9</v>
      </c>
      <c r="U14" s="6" t="inlineStr"/>
      <c r="V14" s="6" t="inlineStr"/>
    </row>
    <row r="15" ht="20" customHeight="1">
      <c r="A15" s="2" t="n">
        <v>13</v>
      </c>
      <c r="B15" s="2" t="inlineStr">
        <is>
          <t>8A2349</t>
        </is>
      </c>
      <c r="C15" s="3" t="inlineStr">
        <is>
          <t>4-F-CTN</t>
        </is>
      </c>
      <c r="D15" s="2" t="inlineStr">
        <is>
          <t>520812</t>
        </is>
      </c>
      <c r="E15" s="2" t="inlineStr">
        <is>
          <t>GST 5 %</t>
        </is>
      </c>
      <c r="F15" s="2" t="inlineStr">
        <is>
          <t>Mtr</t>
        </is>
      </c>
      <c r="G15" s="4" t="n">
        <v>11</v>
      </c>
      <c r="H15" s="2" t="n">
        <v>45</v>
      </c>
      <c r="I15" s="5" t="n">
        <v>93</v>
      </c>
      <c r="J15" s="5" t="n">
        <v>2.79</v>
      </c>
      <c r="K15" s="5">
        <f>ROUND(G15*I15*(J15/100), 2)</f>
        <v/>
      </c>
      <c r="L15" s="5">
        <f>ROUND(I15-K15, 2)</f>
        <v/>
      </c>
      <c r="M15" s="5">
        <f>ROUND(G15*L15, 2)</f>
        <v/>
      </c>
      <c r="N15" s="5">
        <f>ROUND(M15*0.05, 2)</f>
        <v/>
      </c>
      <c r="O15" s="5" t="n">
        <v>0</v>
      </c>
      <c r="P15" s="5" t="n">
        <v>0</v>
      </c>
      <c r="Q15" s="5">
        <f>ROUND(M15+N15, 2)</f>
        <v/>
      </c>
      <c r="R15" s="5" t="n">
        <v>186</v>
      </c>
      <c r="S15" s="5" t="n">
        <v>106.95</v>
      </c>
      <c r="T15" s="5" t="n">
        <v>120.9</v>
      </c>
      <c r="U15" s="2" t="inlineStr"/>
      <c r="V15" s="2" t="inlineStr"/>
    </row>
    <row r="16" ht="20" customHeight="1">
      <c r="A16" s="6" t="n">
        <v>14</v>
      </c>
      <c r="B16" s="6" t="inlineStr">
        <is>
          <t>8A2350</t>
        </is>
      </c>
      <c r="C16" s="7" t="inlineStr">
        <is>
          <t>4-F-CTN</t>
        </is>
      </c>
      <c r="D16" s="6" t="inlineStr">
        <is>
          <t>520812</t>
        </is>
      </c>
      <c r="E16" s="6" t="inlineStr">
        <is>
          <t>GST 5 %</t>
        </is>
      </c>
      <c r="F16" s="6" t="inlineStr">
        <is>
          <t>Mtr</t>
        </is>
      </c>
      <c r="G16" s="8" t="n">
        <v>10</v>
      </c>
      <c r="H16" s="6" t="n">
        <v>45</v>
      </c>
      <c r="I16" s="9" t="n">
        <v>93</v>
      </c>
      <c r="J16" s="9" t="n">
        <v>2.79</v>
      </c>
      <c r="K16" s="9">
        <f>ROUND(G16*I16*(J16/100), 2)</f>
        <v/>
      </c>
      <c r="L16" s="9">
        <f>ROUND(I16-K16, 2)</f>
        <v/>
      </c>
      <c r="M16" s="9">
        <f>ROUND(G16*L16, 2)</f>
        <v/>
      </c>
      <c r="N16" s="9">
        <f>ROUND(M16*0.05, 2)</f>
        <v/>
      </c>
      <c r="O16" s="9" t="n">
        <v>0</v>
      </c>
      <c r="P16" s="9" t="n">
        <v>0</v>
      </c>
      <c r="Q16" s="9">
        <f>ROUND(M16+N16, 2)</f>
        <v/>
      </c>
      <c r="R16" s="9" t="n">
        <v>186</v>
      </c>
      <c r="S16" s="9" t="n">
        <v>106.95</v>
      </c>
      <c r="T16" s="9" t="n">
        <v>120.9</v>
      </c>
      <c r="U16" s="6" t="inlineStr"/>
      <c r="V16" s="6" t="inlineStr"/>
    </row>
    <row r="17" ht="20" customHeight="1">
      <c r="A17" s="2" t="n">
        <v>15</v>
      </c>
      <c r="B17" s="2" t="inlineStr">
        <is>
          <t>8A2351</t>
        </is>
      </c>
      <c r="C17" s="3" t="inlineStr">
        <is>
          <t>4-F-CTN</t>
        </is>
      </c>
      <c r="D17" s="2" t="inlineStr">
        <is>
          <t>520812</t>
        </is>
      </c>
      <c r="E17" s="2" t="inlineStr">
        <is>
          <t>GST 5 %</t>
        </is>
      </c>
      <c r="F17" s="2" t="inlineStr">
        <is>
          <t>Mtr</t>
        </is>
      </c>
      <c r="G17" s="4" t="n">
        <v>10</v>
      </c>
      <c r="H17" s="2" t="n">
        <v>45</v>
      </c>
      <c r="I17" s="5" t="n">
        <v>93</v>
      </c>
      <c r="J17" s="5" t="n">
        <v>2.79</v>
      </c>
      <c r="K17" s="5">
        <f>ROUND(G17*I17*(J17/100), 2)</f>
        <v/>
      </c>
      <c r="L17" s="5">
        <f>ROUND(I17-K17, 2)</f>
        <v/>
      </c>
      <c r="M17" s="5">
        <f>ROUND(G17*L17, 2)</f>
        <v/>
      </c>
      <c r="N17" s="5">
        <f>ROUND(M17*0.05, 2)</f>
        <v/>
      </c>
      <c r="O17" s="5" t="n">
        <v>0</v>
      </c>
      <c r="P17" s="5" t="n">
        <v>0</v>
      </c>
      <c r="Q17" s="5">
        <f>ROUND(M17+N17, 2)</f>
        <v/>
      </c>
      <c r="R17" s="5" t="n">
        <v>186</v>
      </c>
      <c r="S17" s="5" t="n">
        <v>106.95</v>
      </c>
      <c r="T17" s="5" t="n">
        <v>120.9</v>
      </c>
      <c r="U17" s="2" t="inlineStr"/>
      <c r="V17" s="2" t="inlineStr"/>
    </row>
    <row r="18" ht="20" customHeight="1">
      <c r="A18" s="6" t="n">
        <v>16</v>
      </c>
      <c r="B18" s="6" t="inlineStr">
        <is>
          <t>8A2352</t>
        </is>
      </c>
      <c r="C18" s="7" t="inlineStr">
        <is>
          <t>4-F-CTN</t>
        </is>
      </c>
      <c r="D18" s="6" t="inlineStr">
        <is>
          <t>520812</t>
        </is>
      </c>
      <c r="E18" s="6" t="inlineStr">
        <is>
          <t>GST 5 %</t>
        </is>
      </c>
      <c r="F18" s="6" t="inlineStr">
        <is>
          <t>Mtr</t>
        </is>
      </c>
      <c r="G18" s="8" t="n">
        <v>10</v>
      </c>
      <c r="H18" s="6" t="n">
        <v>45</v>
      </c>
      <c r="I18" s="9" t="n">
        <v>93</v>
      </c>
      <c r="J18" s="9" t="n">
        <v>2.79</v>
      </c>
      <c r="K18" s="9">
        <f>ROUND(G18*I18*(J18/100), 2)</f>
        <v/>
      </c>
      <c r="L18" s="9">
        <f>ROUND(I18-K18, 2)</f>
        <v/>
      </c>
      <c r="M18" s="9">
        <f>ROUND(G18*L18, 2)</f>
        <v/>
      </c>
      <c r="N18" s="9">
        <f>ROUND(M18*0.05, 2)</f>
        <v/>
      </c>
      <c r="O18" s="9" t="n">
        <v>0</v>
      </c>
      <c r="P18" s="9" t="n">
        <v>0</v>
      </c>
      <c r="Q18" s="9">
        <f>ROUND(M18+N18, 2)</f>
        <v/>
      </c>
      <c r="R18" s="9" t="n">
        <v>186</v>
      </c>
      <c r="S18" s="9" t="n">
        <v>106.95</v>
      </c>
      <c r="T18" s="9" t="n">
        <v>120.9</v>
      </c>
      <c r="U18" s="6" t="inlineStr"/>
      <c r="V18" s="6" t="inlineStr"/>
    </row>
    <row r="19" ht="20" customHeight="1">
      <c r="A19" s="2" t="n">
        <v>17</v>
      </c>
      <c r="B19" s="2" t="inlineStr">
        <is>
          <t>8A2353</t>
        </is>
      </c>
      <c r="C19" s="3" t="inlineStr">
        <is>
          <t>4-F-CTN</t>
        </is>
      </c>
      <c r="D19" s="2" t="inlineStr">
        <is>
          <t>520812</t>
        </is>
      </c>
      <c r="E19" s="2" t="inlineStr">
        <is>
          <t>GST 5 %</t>
        </is>
      </c>
      <c r="F19" s="2" t="inlineStr">
        <is>
          <t>Mtr</t>
        </is>
      </c>
      <c r="G19" s="4" t="n">
        <v>10</v>
      </c>
      <c r="H19" s="2" t="n">
        <v>45</v>
      </c>
      <c r="I19" s="5" t="n">
        <v>93</v>
      </c>
      <c r="J19" s="5" t="n">
        <v>2.79</v>
      </c>
      <c r="K19" s="5">
        <f>ROUND(G19*I19*(J19/100), 2)</f>
        <v/>
      </c>
      <c r="L19" s="5">
        <f>ROUND(I19-K19, 2)</f>
        <v/>
      </c>
      <c r="M19" s="5">
        <f>ROUND(G19*L19, 2)</f>
        <v/>
      </c>
      <c r="N19" s="5">
        <f>ROUND(M19*0.05, 2)</f>
        <v/>
      </c>
      <c r="O19" s="5" t="n">
        <v>0</v>
      </c>
      <c r="P19" s="5" t="n">
        <v>0</v>
      </c>
      <c r="Q19" s="5">
        <f>ROUND(M19+N19, 2)</f>
        <v/>
      </c>
      <c r="R19" s="5" t="n">
        <v>186</v>
      </c>
      <c r="S19" s="5" t="n">
        <v>106.95</v>
      </c>
      <c r="T19" s="5" t="n">
        <v>120.9</v>
      </c>
      <c r="U19" s="2" t="inlineStr"/>
      <c r="V19" s="2" t="inlineStr"/>
    </row>
    <row r="20" ht="20" customHeight="1">
      <c r="A20" s="6" t="n">
        <v>18</v>
      </c>
      <c r="B20" s="6" t="inlineStr">
        <is>
          <t>8A2354</t>
        </is>
      </c>
      <c r="C20" s="7" t="inlineStr">
        <is>
          <t>4-F-CTN</t>
        </is>
      </c>
      <c r="D20" s="6" t="inlineStr">
        <is>
          <t>520812</t>
        </is>
      </c>
      <c r="E20" s="6" t="inlineStr">
        <is>
          <t>GST 5 %</t>
        </is>
      </c>
      <c r="F20" s="6" t="inlineStr">
        <is>
          <t>Mtr</t>
        </is>
      </c>
      <c r="G20" s="8" t="n">
        <v>13</v>
      </c>
      <c r="H20" s="6" t="n">
        <v>45</v>
      </c>
      <c r="I20" s="9" t="n">
        <v>93</v>
      </c>
      <c r="J20" s="9" t="n">
        <v>2.79</v>
      </c>
      <c r="K20" s="9">
        <f>ROUND(G20*I20*(J20/100), 2)</f>
        <v/>
      </c>
      <c r="L20" s="9">
        <f>ROUND(I20-K20, 2)</f>
        <v/>
      </c>
      <c r="M20" s="9">
        <f>ROUND(G20*L20, 2)</f>
        <v/>
      </c>
      <c r="N20" s="9">
        <f>ROUND(M20*0.05, 2)</f>
        <v/>
      </c>
      <c r="O20" s="9" t="n">
        <v>0</v>
      </c>
      <c r="P20" s="9" t="n">
        <v>0</v>
      </c>
      <c r="Q20" s="9">
        <f>ROUND(M20+N20, 2)</f>
        <v/>
      </c>
      <c r="R20" s="9" t="n">
        <v>186</v>
      </c>
      <c r="S20" s="9" t="n">
        <v>106.95</v>
      </c>
      <c r="T20" s="9" t="n">
        <v>120.9</v>
      </c>
      <c r="U20" s="6" t="inlineStr"/>
      <c r="V20" s="6" t="inlineStr"/>
    </row>
    <row r="21" ht="20" customHeight="1">
      <c r="A21" s="2" t="n">
        <v>19</v>
      </c>
      <c r="B21" s="2" t="inlineStr">
        <is>
          <t>8A2355</t>
        </is>
      </c>
      <c r="C21" s="3" t="inlineStr">
        <is>
          <t>4-F-CTN</t>
        </is>
      </c>
      <c r="D21" s="2" t="inlineStr">
        <is>
          <t>520812</t>
        </is>
      </c>
      <c r="E21" s="2" t="inlineStr">
        <is>
          <t>GST 5 %</t>
        </is>
      </c>
      <c r="F21" s="2" t="inlineStr">
        <is>
          <t>Mtr</t>
        </is>
      </c>
      <c r="G21" s="4" t="n">
        <v>12</v>
      </c>
      <c r="H21" s="2" t="n">
        <v>45</v>
      </c>
      <c r="I21" s="5" t="n">
        <v>93</v>
      </c>
      <c r="J21" s="5" t="n">
        <v>2.79</v>
      </c>
      <c r="K21" s="5">
        <f>ROUND(G21*I21*(J21/100), 2)</f>
        <v/>
      </c>
      <c r="L21" s="5">
        <f>ROUND(I21-K21, 2)</f>
        <v/>
      </c>
      <c r="M21" s="5">
        <f>ROUND(G21*L21, 2)</f>
        <v/>
      </c>
      <c r="N21" s="5">
        <f>ROUND(M21*0.05, 2)</f>
        <v/>
      </c>
      <c r="O21" s="5" t="n">
        <v>0</v>
      </c>
      <c r="P21" s="5" t="n">
        <v>0</v>
      </c>
      <c r="Q21" s="5">
        <f>ROUND(M21+N21, 2)</f>
        <v/>
      </c>
      <c r="R21" s="5" t="n">
        <v>186</v>
      </c>
      <c r="S21" s="5" t="n">
        <v>106.95</v>
      </c>
      <c r="T21" s="5" t="n">
        <v>120.9</v>
      </c>
      <c r="U21" s="2" t="inlineStr"/>
      <c r="V21" s="2" t="inlineStr"/>
    </row>
    <row r="22" ht="20" customHeight="1">
      <c r="A22" s="6" t="n">
        <v>20</v>
      </c>
      <c r="B22" s="6" t="inlineStr">
        <is>
          <t>8A2356</t>
        </is>
      </c>
      <c r="C22" s="7" t="inlineStr">
        <is>
          <t>4-F-CTN</t>
        </is>
      </c>
      <c r="D22" s="6" t="inlineStr">
        <is>
          <t>520812</t>
        </is>
      </c>
      <c r="E22" s="6" t="inlineStr">
        <is>
          <t>GST 5 %</t>
        </is>
      </c>
      <c r="F22" s="6" t="inlineStr">
        <is>
          <t>Mtr</t>
        </is>
      </c>
      <c r="G22" s="8" t="n">
        <v>16</v>
      </c>
      <c r="H22" s="6" t="n">
        <v>45</v>
      </c>
      <c r="I22" s="9" t="n">
        <v>93</v>
      </c>
      <c r="J22" s="9" t="n">
        <v>2.79</v>
      </c>
      <c r="K22" s="9">
        <f>ROUND(G22*I22*(J22/100), 2)</f>
        <v/>
      </c>
      <c r="L22" s="9">
        <f>ROUND(I22-K22, 2)</f>
        <v/>
      </c>
      <c r="M22" s="9">
        <f>ROUND(G22*L22, 2)</f>
        <v/>
      </c>
      <c r="N22" s="9">
        <f>ROUND(M22*0.05, 2)</f>
        <v/>
      </c>
      <c r="O22" s="9" t="n">
        <v>0</v>
      </c>
      <c r="P22" s="9" t="n">
        <v>0</v>
      </c>
      <c r="Q22" s="9">
        <f>ROUND(M22+N22, 2)</f>
        <v/>
      </c>
      <c r="R22" s="9" t="n">
        <v>186</v>
      </c>
      <c r="S22" s="9" t="n">
        <v>106.95</v>
      </c>
      <c r="T22" s="9" t="n">
        <v>120.9</v>
      </c>
      <c r="U22" s="6" t="inlineStr"/>
      <c r="V22" s="6" t="inlineStr"/>
    </row>
    <row r="23" ht="20" customHeight="1">
      <c r="A23" s="2" t="n">
        <v>21</v>
      </c>
      <c r="B23" s="2" t="inlineStr">
        <is>
          <t>8A2357</t>
        </is>
      </c>
      <c r="C23" s="3" t="inlineStr">
        <is>
          <t>4-F-CTN</t>
        </is>
      </c>
      <c r="D23" s="2" t="inlineStr">
        <is>
          <t>520812</t>
        </is>
      </c>
      <c r="E23" s="2" t="inlineStr">
        <is>
          <t>GST 5 %</t>
        </is>
      </c>
      <c r="F23" s="2" t="inlineStr">
        <is>
          <t>Mtr</t>
        </is>
      </c>
      <c r="G23" s="4" t="n">
        <v>17</v>
      </c>
      <c r="H23" s="2" t="n">
        <v>45</v>
      </c>
      <c r="I23" s="5" t="n">
        <v>93</v>
      </c>
      <c r="J23" s="5" t="n">
        <v>2.79</v>
      </c>
      <c r="K23" s="5">
        <f>ROUND(G23*I23*(J23/100), 2)</f>
        <v/>
      </c>
      <c r="L23" s="5">
        <f>ROUND(I23-K23, 2)</f>
        <v/>
      </c>
      <c r="M23" s="5">
        <f>ROUND(G23*L23, 2)</f>
        <v/>
      </c>
      <c r="N23" s="5">
        <f>ROUND(M23*0.05, 2)</f>
        <v/>
      </c>
      <c r="O23" s="5" t="n">
        <v>0</v>
      </c>
      <c r="P23" s="5" t="n">
        <v>0</v>
      </c>
      <c r="Q23" s="5">
        <f>ROUND(M23+N23, 2)</f>
        <v/>
      </c>
      <c r="R23" s="5" t="n">
        <v>186</v>
      </c>
      <c r="S23" s="5" t="n">
        <v>106.95</v>
      </c>
      <c r="T23" s="5" t="n">
        <v>120.9</v>
      </c>
      <c r="U23" s="2" t="inlineStr"/>
      <c r="V23" s="2" t="inlineStr"/>
    </row>
    <row r="24" ht="20" customHeight="1">
      <c r="A24" s="6" t="n">
        <v>22</v>
      </c>
      <c r="B24" s="6" t="inlineStr">
        <is>
          <t>8A2358</t>
        </is>
      </c>
      <c r="C24" s="7" t="inlineStr">
        <is>
          <t>4-F-CTN</t>
        </is>
      </c>
      <c r="D24" s="6" t="inlineStr">
        <is>
          <t>520812</t>
        </is>
      </c>
      <c r="E24" s="6" t="inlineStr">
        <is>
          <t>GST 5 %</t>
        </is>
      </c>
      <c r="F24" s="6" t="inlineStr">
        <is>
          <t>Mtr</t>
        </is>
      </c>
      <c r="G24" s="8" t="n">
        <v>16</v>
      </c>
      <c r="H24" s="6" t="n">
        <v>45</v>
      </c>
      <c r="I24" s="9" t="n">
        <v>93</v>
      </c>
      <c r="J24" s="9" t="n">
        <v>2.79</v>
      </c>
      <c r="K24" s="9">
        <f>ROUND(G24*I24*(J24/100), 2)</f>
        <v/>
      </c>
      <c r="L24" s="9">
        <f>ROUND(I24-K24, 2)</f>
        <v/>
      </c>
      <c r="M24" s="9">
        <f>ROUND(G24*L24, 2)</f>
        <v/>
      </c>
      <c r="N24" s="9">
        <f>ROUND(M24*0.05, 2)</f>
        <v/>
      </c>
      <c r="O24" s="9" t="n">
        <v>0</v>
      </c>
      <c r="P24" s="9" t="n">
        <v>0</v>
      </c>
      <c r="Q24" s="9">
        <f>ROUND(M24+N24, 2)</f>
        <v/>
      </c>
      <c r="R24" s="9" t="n">
        <v>186</v>
      </c>
      <c r="S24" s="9" t="n">
        <v>106.95</v>
      </c>
      <c r="T24" s="9" t="n">
        <v>120.9</v>
      </c>
      <c r="U24" s="6" t="inlineStr"/>
      <c r="V24" s="6" t="inlineStr"/>
    </row>
    <row r="25" ht="20" customHeight="1">
      <c r="A25" s="2" t="n">
        <v>23</v>
      </c>
      <c r="B25" s="2" t="inlineStr">
        <is>
          <t>8A2359</t>
        </is>
      </c>
      <c r="C25" s="3" t="inlineStr">
        <is>
          <t>4-F-CTN</t>
        </is>
      </c>
      <c r="D25" s="2" t="inlineStr">
        <is>
          <t>520812</t>
        </is>
      </c>
      <c r="E25" s="2" t="inlineStr">
        <is>
          <t>GST 5 %</t>
        </is>
      </c>
      <c r="F25" s="2" t="inlineStr">
        <is>
          <t>Mtr</t>
        </is>
      </c>
      <c r="G25" s="4" t="n">
        <v>9</v>
      </c>
      <c r="H25" s="2" t="n">
        <v>45</v>
      </c>
      <c r="I25" s="5" t="n">
        <v>93</v>
      </c>
      <c r="J25" s="5" t="n">
        <v>2.79</v>
      </c>
      <c r="K25" s="5">
        <f>ROUND(G25*I25*(J25/100), 2)</f>
        <v/>
      </c>
      <c r="L25" s="5">
        <f>ROUND(I25-K25, 2)</f>
        <v/>
      </c>
      <c r="M25" s="5">
        <f>ROUND(G25*L25, 2)</f>
        <v/>
      </c>
      <c r="N25" s="5">
        <f>ROUND(M25*0.05, 2)</f>
        <v/>
      </c>
      <c r="O25" s="5" t="n">
        <v>0</v>
      </c>
      <c r="P25" s="5" t="n">
        <v>0</v>
      </c>
      <c r="Q25" s="5">
        <f>ROUND(M25+N25, 2)</f>
        <v/>
      </c>
      <c r="R25" s="5" t="n">
        <v>186</v>
      </c>
      <c r="S25" s="5" t="n">
        <v>106.95</v>
      </c>
      <c r="T25" s="5" t="n">
        <v>120.9</v>
      </c>
      <c r="U25" s="2" t="inlineStr"/>
      <c r="V25" s="2" t="inlineStr"/>
    </row>
    <row r="26" ht="20" customHeight="1">
      <c r="A26" s="6" t="n">
        <v>24</v>
      </c>
      <c r="B26" s="6" t="inlineStr">
        <is>
          <t>8A2360</t>
        </is>
      </c>
      <c r="C26" s="7" t="inlineStr">
        <is>
          <t>4-F-CTN</t>
        </is>
      </c>
      <c r="D26" s="6" t="inlineStr">
        <is>
          <t>520812</t>
        </is>
      </c>
      <c r="E26" s="6" t="inlineStr">
        <is>
          <t>GST 5 %</t>
        </is>
      </c>
      <c r="F26" s="6" t="inlineStr">
        <is>
          <t>Mtr</t>
        </is>
      </c>
      <c r="G26" s="8" t="n">
        <v>9.5</v>
      </c>
      <c r="H26" s="6" t="n">
        <v>45</v>
      </c>
      <c r="I26" s="9" t="n">
        <v>93</v>
      </c>
      <c r="J26" s="9" t="n">
        <v>2.79</v>
      </c>
      <c r="K26" s="9">
        <f>ROUND(G26*I26*(J26/100), 2)</f>
        <v/>
      </c>
      <c r="L26" s="9">
        <f>ROUND(I26-K26, 2)</f>
        <v/>
      </c>
      <c r="M26" s="9">
        <f>ROUND(G26*L26, 2)</f>
        <v/>
      </c>
      <c r="N26" s="9">
        <f>ROUND(M26*0.05, 2)</f>
        <v/>
      </c>
      <c r="O26" s="9" t="n">
        <v>0</v>
      </c>
      <c r="P26" s="9" t="n">
        <v>0</v>
      </c>
      <c r="Q26" s="9">
        <f>ROUND(M26+N26, 2)</f>
        <v/>
      </c>
      <c r="R26" s="9" t="n">
        <v>186</v>
      </c>
      <c r="S26" s="9" t="n">
        <v>106.95</v>
      </c>
      <c r="T26" s="9" t="n">
        <v>120.9</v>
      </c>
      <c r="U26" s="6" t="inlineStr"/>
      <c r="V26" s="6" t="inlineStr"/>
    </row>
    <row r="27" ht="20" customHeight="1">
      <c r="A27" s="2" t="n">
        <v>25</v>
      </c>
      <c r="B27" s="2" t="inlineStr">
        <is>
          <t>8A2361</t>
        </is>
      </c>
      <c r="C27" s="3" t="inlineStr">
        <is>
          <t>4-F-CTN</t>
        </is>
      </c>
      <c r="D27" s="2" t="inlineStr">
        <is>
          <t>520812</t>
        </is>
      </c>
      <c r="E27" s="2" t="inlineStr">
        <is>
          <t>GST 5 %</t>
        </is>
      </c>
      <c r="F27" s="2" t="inlineStr">
        <is>
          <t>Mtr</t>
        </is>
      </c>
      <c r="G27" s="4" t="n">
        <v>10</v>
      </c>
      <c r="H27" s="2" t="n">
        <v>45</v>
      </c>
      <c r="I27" s="5" t="n">
        <v>93</v>
      </c>
      <c r="J27" s="5" t="n">
        <v>2.79</v>
      </c>
      <c r="K27" s="5">
        <f>ROUND(G27*I27*(J27/100), 2)</f>
        <v/>
      </c>
      <c r="L27" s="5">
        <f>ROUND(I27-K27, 2)</f>
        <v/>
      </c>
      <c r="M27" s="5">
        <f>ROUND(G27*L27, 2)</f>
        <v/>
      </c>
      <c r="N27" s="5">
        <f>ROUND(M27*0.05, 2)</f>
        <v/>
      </c>
      <c r="O27" s="5" t="n">
        <v>0</v>
      </c>
      <c r="P27" s="5" t="n">
        <v>0</v>
      </c>
      <c r="Q27" s="5">
        <f>ROUND(M27+N27, 2)</f>
        <v/>
      </c>
      <c r="R27" s="5" t="n">
        <v>186</v>
      </c>
      <c r="S27" s="5" t="n">
        <v>106.95</v>
      </c>
      <c r="T27" s="5" t="n">
        <v>120.9</v>
      </c>
      <c r="U27" s="2" t="inlineStr"/>
      <c r="V27" s="2" t="inlineStr"/>
    </row>
    <row r="28" ht="20" customHeight="1">
      <c r="A28" s="6" t="n">
        <v>26</v>
      </c>
      <c r="B28" s="6" t="inlineStr">
        <is>
          <t>8A2362</t>
        </is>
      </c>
      <c r="C28" s="7" t="inlineStr">
        <is>
          <t>4-F-CTN</t>
        </is>
      </c>
      <c r="D28" s="6" t="inlineStr">
        <is>
          <t>520812</t>
        </is>
      </c>
      <c r="E28" s="6" t="inlineStr">
        <is>
          <t>GST 5 %</t>
        </is>
      </c>
      <c r="F28" s="6" t="inlineStr">
        <is>
          <t>Mtr</t>
        </is>
      </c>
      <c r="G28" s="8" t="n">
        <v>9.75</v>
      </c>
      <c r="H28" s="6" t="n">
        <v>45</v>
      </c>
      <c r="I28" s="9" t="n">
        <v>93</v>
      </c>
      <c r="J28" s="9" t="n">
        <v>2.79</v>
      </c>
      <c r="K28" s="9">
        <f>ROUND(G28*I28*(J28/100), 2)</f>
        <v/>
      </c>
      <c r="L28" s="9">
        <f>ROUND(I28-K28, 2)</f>
        <v/>
      </c>
      <c r="M28" s="9">
        <f>ROUND(G28*L28, 2)</f>
        <v/>
      </c>
      <c r="N28" s="9">
        <f>ROUND(M28*0.05, 2)</f>
        <v/>
      </c>
      <c r="O28" s="9" t="n">
        <v>0</v>
      </c>
      <c r="P28" s="9" t="n">
        <v>0</v>
      </c>
      <c r="Q28" s="9">
        <f>ROUND(M28+N28, 2)</f>
        <v/>
      </c>
      <c r="R28" s="9" t="n">
        <v>186</v>
      </c>
      <c r="S28" s="9" t="n">
        <v>106.95</v>
      </c>
      <c r="T28" s="9" t="n">
        <v>120.9</v>
      </c>
      <c r="U28" s="6" t="inlineStr"/>
      <c r="V28" s="6" t="inlineStr"/>
    </row>
    <row r="29" ht="20" customHeight="1">
      <c r="A29" s="2" t="n">
        <v>27</v>
      </c>
      <c r="B29" s="2" t="inlineStr">
        <is>
          <t>8A2363</t>
        </is>
      </c>
      <c r="C29" s="3" t="inlineStr">
        <is>
          <t>4-F-CTN</t>
        </is>
      </c>
      <c r="D29" s="2" t="inlineStr">
        <is>
          <t>520812</t>
        </is>
      </c>
      <c r="E29" s="2" t="inlineStr">
        <is>
          <t>GST 5 %</t>
        </is>
      </c>
      <c r="F29" s="2" t="inlineStr">
        <is>
          <t>Mtr</t>
        </is>
      </c>
      <c r="G29" s="4" t="n">
        <v>11</v>
      </c>
      <c r="H29" s="2" t="n">
        <v>45</v>
      </c>
      <c r="I29" s="5" t="n">
        <v>93</v>
      </c>
      <c r="J29" s="5" t="n">
        <v>2.79</v>
      </c>
      <c r="K29" s="5">
        <f>ROUND(G29*I29*(J29/100), 2)</f>
        <v/>
      </c>
      <c r="L29" s="5">
        <f>ROUND(I29-K29, 2)</f>
        <v/>
      </c>
      <c r="M29" s="5">
        <f>ROUND(G29*L29, 2)</f>
        <v/>
      </c>
      <c r="N29" s="5">
        <f>ROUND(M29*0.05, 2)</f>
        <v/>
      </c>
      <c r="O29" s="5" t="n">
        <v>0</v>
      </c>
      <c r="P29" s="5" t="n">
        <v>0</v>
      </c>
      <c r="Q29" s="5">
        <f>ROUND(M29+N29, 2)</f>
        <v/>
      </c>
      <c r="R29" s="5" t="n">
        <v>186</v>
      </c>
      <c r="S29" s="5" t="n">
        <v>106.95</v>
      </c>
      <c r="T29" s="5" t="n">
        <v>120.9</v>
      </c>
      <c r="U29" s="2" t="inlineStr"/>
      <c r="V29" s="2" t="inlineStr"/>
    </row>
    <row r="30" ht="20" customHeight="1">
      <c r="A30" s="6" t="n">
        <v>28</v>
      </c>
      <c r="B30" s="6" t="inlineStr">
        <is>
          <t>8A2364</t>
        </is>
      </c>
      <c r="C30" s="7" t="inlineStr">
        <is>
          <t>4-F-CTN</t>
        </is>
      </c>
      <c r="D30" s="6" t="inlineStr">
        <is>
          <t>520812</t>
        </is>
      </c>
      <c r="E30" s="6" t="inlineStr">
        <is>
          <t>GST 5 %</t>
        </is>
      </c>
      <c r="F30" s="6" t="inlineStr">
        <is>
          <t>Mtr</t>
        </is>
      </c>
      <c r="G30" s="8" t="n">
        <v>10</v>
      </c>
      <c r="H30" s="6" t="n">
        <v>45</v>
      </c>
      <c r="I30" s="9" t="n">
        <v>93</v>
      </c>
      <c r="J30" s="9" t="n">
        <v>2.79</v>
      </c>
      <c r="K30" s="9">
        <f>ROUND(G30*I30*(J30/100), 2)</f>
        <v/>
      </c>
      <c r="L30" s="9">
        <f>ROUND(I30-K30, 2)</f>
        <v/>
      </c>
      <c r="M30" s="9">
        <f>ROUND(G30*L30, 2)</f>
        <v/>
      </c>
      <c r="N30" s="9">
        <f>ROUND(M30*0.05, 2)</f>
        <v/>
      </c>
      <c r="O30" s="9" t="n">
        <v>0</v>
      </c>
      <c r="P30" s="9" t="n">
        <v>0</v>
      </c>
      <c r="Q30" s="9">
        <f>ROUND(M30+N30, 2)</f>
        <v/>
      </c>
      <c r="R30" s="9" t="n">
        <v>186</v>
      </c>
      <c r="S30" s="9" t="n">
        <v>106.95</v>
      </c>
      <c r="T30" s="9" t="n">
        <v>120.9</v>
      </c>
      <c r="U30" s="6" t="inlineStr"/>
      <c r="V30" s="6" t="inlineStr"/>
    </row>
    <row r="31" ht="20" customHeight="1">
      <c r="A31" s="2" t="n">
        <v>29</v>
      </c>
      <c r="B31" s="2" t="inlineStr">
        <is>
          <t>8A2365</t>
        </is>
      </c>
      <c r="C31" s="3" t="inlineStr">
        <is>
          <t>4-F-CTN</t>
        </is>
      </c>
      <c r="D31" s="2" t="inlineStr">
        <is>
          <t>520812</t>
        </is>
      </c>
      <c r="E31" s="2" t="inlineStr">
        <is>
          <t>GST 5 %</t>
        </is>
      </c>
      <c r="F31" s="2" t="inlineStr">
        <is>
          <t>Mtr</t>
        </is>
      </c>
      <c r="G31" s="4" t="n">
        <v>10</v>
      </c>
      <c r="H31" s="2" t="n">
        <v>45</v>
      </c>
      <c r="I31" s="5" t="n">
        <v>93</v>
      </c>
      <c r="J31" s="5" t="n">
        <v>2.79</v>
      </c>
      <c r="K31" s="5">
        <f>ROUND(G31*I31*(J31/100), 2)</f>
        <v/>
      </c>
      <c r="L31" s="5">
        <f>ROUND(I31-K31, 2)</f>
        <v/>
      </c>
      <c r="M31" s="5">
        <f>ROUND(G31*L31, 2)</f>
        <v/>
      </c>
      <c r="N31" s="5">
        <f>ROUND(M31*0.05, 2)</f>
        <v/>
      </c>
      <c r="O31" s="5" t="n">
        <v>0</v>
      </c>
      <c r="P31" s="5" t="n">
        <v>0</v>
      </c>
      <c r="Q31" s="5">
        <f>ROUND(M31+N31, 2)</f>
        <v/>
      </c>
      <c r="R31" s="5" t="n">
        <v>186</v>
      </c>
      <c r="S31" s="5" t="n">
        <v>106.95</v>
      </c>
      <c r="T31" s="5" t="n">
        <v>120.9</v>
      </c>
      <c r="U31" s="2" t="inlineStr"/>
      <c r="V31" s="2" t="inlineStr"/>
    </row>
    <row r="32" ht="20" customHeight="1">
      <c r="A32" s="6" t="n">
        <v>30</v>
      </c>
      <c r="B32" s="6" t="inlineStr">
        <is>
          <t>8A2366</t>
        </is>
      </c>
      <c r="C32" s="7" t="inlineStr">
        <is>
          <t>4-F-CTN</t>
        </is>
      </c>
      <c r="D32" s="6" t="inlineStr">
        <is>
          <t>520812</t>
        </is>
      </c>
      <c r="E32" s="6" t="inlineStr">
        <is>
          <t>GST 5 %</t>
        </is>
      </c>
      <c r="F32" s="6" t="inlineStr">
        <is>
          <t>Mtr</t>
        </is>
      </c>
      <c r="G32" s="8" t="n">
        <v>11</v>
      </c>
      <c r="H32" s="6" t="n">
        <v>45</v>
      </c>
      <c r="I32" s="9" t="n">
        <v>93</v>
      </c>
      <c r="J32" s="9" t="n">
        <v>2.79</v>
      </c>
      <c r="K32" s="9">
        <f>ROUND(G32*I32*(J32/100), 2)</f>
        <v/>
      </c>
      <c r="L32" s="9">
        <f>ROUND(I32-K32, 2)</f>
        <v/>
      </c>
      <c r="M32" s="9">
        <f>ROUND(G32*L32, 2)</f>
        <v/>
      </c>
      <c r="N32" s="9">
        <f>ROUND(M32*0.05, 2)</f>
        <v/>
      </c>
      <c r="O32" s="9" t="n">
        <v>0</v>
      </c>
      <c r="P32" s="9" t="n">
        <v>0</v>
      </c>
      <c r="Q32" s="9">
        <f>ROUND(M32+N32, 2)</f>
        <v/>
      </c>
      <c r="R32" s="9" t="n">
        <v>186</v>
      </c>
      <c r="S32" s="9" t="n">
        <v>106.95</v>
      </c>
      <c r="T32" s="9" t="n">
        <v>120.9</v>
      </c>
      <c r="U32" s="6" t="inlineStr"/>
      <c r="V32" s="6" t="inlineStr"/>
    </row>
    <row r="33" ht="20" customHeight="1">
      <c r="A33" s="2" t="n">
        <v>31</v>
      </c>
      <c r="B33" s="2" t="inlineStr">
        <is>
          <t>8A2367</t>
        </is>
      </c>
      <c r="C33" s="3" t="inlineStr">
        <is>
          <t>4-F-CTN</t>
        </is>
      </c>
      <c r="D33" s="2" t="inlineStr">
        <is>
          <t>520812</t>
        </is>
      </c>
      <c r="E33" s="2" t="inlineStr">
        <is>
          <t>GST 5 %</t>
        </is>
      </c>
      <c r="F33" s="2" t="inlineStr">
        <is>
          <t>Mtr</t>
        </is>
      </c>
      <c r="G33" s="4" t="n">
        <v>11</v>
      </c>
      <c r="H33" s="2" t="n">
        <v>45</v>
      </c>
      <c r="I33" s="5" t="n">
        <v>93</v>
      </c>
      <c r="J33" s="5" t="n">
        <v>2.79</v>
      </c>
      <c r="K33" s="5">
        <f>ROUND(G33*I33*(J33/100), 2)</f>
        <v/>
      </c>
      <c r="L33" s="5">
        <f>ROUND(I33-K33, 2)</f>
        <v/>
      </c>
      <c r="M33" s="5">
        <f>ROUND(G33*L33, 2)</f>
        <v/>
      </c>
      <c r="N33" s="5">
        <f>ROUND(M33*0.05, 2)</f>
        <v/>
      </c>
      <c r="O33" s="5" t="n">
        <v>0</v>
      </c>
      <c r="P33" s="5" t="n">
        <v>0</v>
      </c>
      <c r="Q33" s="5">
        <f>ROUND(M33+N33, 2)</f>
        <v/>
      </c>
      <c r="R33" s="5" t="n">
        <v>186</v>
      </c>
      <c r="S33" s="5" t="n">
        <v>106.95</v>
      </c>
      <c r="T33" s="5" t="n">
        <v>120.9</v>
      </c>
      <c r="U33" s="2" t="inlineStr"/>
      <c r="V33" s="2" t="inlineStr"/>
    </row>
    <row r="34" ht="20" customHeight="1">
      <c r="A34" s="6" t="n">
        <v>32</v>
      </c>
      <c r="B34" s="6" t="inlineStr">
        <is>
          <t>8A2368</t>
        </is>
      </c>
      <c r="C34" s="7" t="inlineStr">
        <is>
          <t>4-F-CTN</t>
        </is>
      </c>
      <c r="D34" s="6" t="inlineStr">
        <is>
          <t>520812</t>
        </is>
      </c>
      <c r="E34" s="6" t="inlineStr">
        <is>
          <t>GST 5 %</t>
        </is>
      </c>
      <c r="F34" s="6" t="inlineStr">
        <is>
          <t>Mtr</t>
        </is>
      </c>
      <c r="G34" s="8" t="n">
        <v>10</v>
      </c>
      <c r="H34" s="6" t="n">
        <v>45</v>
      </c>
      <c r="I34" s="9" t="n">
        <v>93</v>
      </c>
      <c r="J34" s="9" t="n">
        <v>2.79</v>
      </c>
      <c r="K34" s="9">
        <f>ROUND(G34*I34*(J34/100), 2)</f>
        <v/>
      </c>
      <c r="L34" s="9">
        <f>ROUND(I34-K34, 2)</f>
        <v/>
      </c>
      <c r="M34" s="9">
        <f>ROUND(G34*L34, 2)</f>
        <v/>
      </c>
      <c r="N34" s="9">
        <f>ROUND(M34*0.05, 2)</f>
        <v/>
      </c>
      <c r="O34" s="9" t="n">
        <v>0</v>
      </c>
      <c r="P34" s="9" t="n">
        <v>0</v>
      </c>
      <c r="Q34" s="9">
        <f>ROUND(M34+N34, 2)</f>
        <v/>
      </c>
      <c r="R34" s="9" t="n">
        <v>186</v>
      </c>
      <c r="S34" s="9" t="n">
        <v>106.95</v>
      </c>
      <c r="T34" s="9" t="n">
        <v>120.9</v>
      </c>
      <c r="U34" s="6" t="inlineStr"/>
      <c r="V34" s="6" t="inlineStr"/>
    </row>
    <row r="35" ht="20" customHeight="1">
      <c r="A35" s="2" t="n">
        <v>33</v>
      </c>
      <c r="B35" s="2" t="inlineStr">
        <is>
          <t>8A2369</t>
        </is>
      </c>
      <c r="C35" s="3" t="inlineStr">
        <is>
          <t>4-F-CTN</t>
        </is>
      </c>
      <c r="D35" s="2" t="inlineStr">
        <is>
          <t>520812</t>
        </is>
      </c>
      <c r="E35" s="2" t="inlineStr">
        <is>
          <t>GST 5 %</t>
        </is>
      </c>
      <c r="F35" s="2" t="inlineStr">
        <is>
          <t>Mtr</t>
        </is>
      </c>
      <c r="G35" s="4" t="n">
        <v>10</v>
      </c>
      <c r="H35" s="2" t="n">
        <v>45</v>
      </c>
      <c r="I35" s="5" t="n">
        <v>93</v>
      </c>
      <c r="J35" s="5" t="n">
        <v>2.79</v>
      </c>
      <c r="K35" s="5">
        <f>ROUND(G35*I35*(J35/100), 2)</f>
        <v/>
      </c>
      <c r="L35" s="5">
        <f>ROUND(I35-K35, 2)</f>
        <v/>
      </c>
      <c r="M35" s="5">
        <f>ROUND(G35*L35, 2)</f>
        <v/>
      </c>
      <c r="N35" s="5">
        <f>ROUND(M35*0.05, 2)</f>
        <v/>
      </c>
      <c r="O35" s="5" t="n">
        <v>0</v>
      </c>
      <c r="P35" s="5" t="n">
        <v>0</v>
      </c>
      <c r="Q35" s="5">
        <f>ROUND(M35+N35, 2)</f>
        <v/>
      </c>
      <c r="R35" s="5" t="n">
        <v>186</v>
      </c>
      <c r="S35" s="5" t="n">
        <v>106.95</v>
      </c>
      <c r="T35" s="5" t="n">
        <v>120.9</v>
      </c>
      <c r="U35" s="2" t="inlineStr"/>
      <c r="V35" s="2" t="inlineStr"/>
    </row>
    <row r="36" ht="20" customHeight="1">
      <c r="A36" s="6" t="n">
        <v>34</v>
      </c>
      <c r="B36" s="6" t="inlineStr">
        <is>
          <t>8A2370</t>
        </is>
      </c>
      <c r="C36" s="7" t="inlineStr">
        <is>
          <t>4-F-CTN</t>
        </is>
      </c>
      <c r="D36" s="6" t="inlineStr">
        <is>
          <t>520812</t>
        </is>
      </c>
      <c r="E36" s="6" t="inlineStr">
        <is>
          <t>GST 5 %</t>
        </is>
      </c>
      <c r="F36" s="6" t="inlineStr">
        <is>
          <t>Mtr</t>
        </is>
      </c>
      <c r="G36" s="8" t="n">
        <v>12</v>
      </c>
      <c r="H36" s="6" t="n">
        <v>45</v>
      </c>
      <c r="I36" s="9" t="n">
        <v>93</v>
      </c>
      <c r="J36" s="9" t="n">
        <v>2.79</v>
      </c>
      <c r="K36" s="9">
        <f>ROUND(G36*I36*(J36/100), 2)</f>
        <v/>
      </c>
      <c r="L36" s="9">
        <f>ROUND(I36-K36, 2)</f>
        <v/>
      </c>
      <c r="M36" s="9">
        <f>ROUND(G36*L36, 2)</f>
        <v/>
      </c>
      <c r="N36" s="9">
        <f>ROUND(M36*0.05, 2)</f>
        <v/>
      </c>
      <c r="O36" s="9" t="n">
        <v>0</v>
      </c>
      <c r="P36" s="9" t="n">
        <v>0</v>
      </c>
      <c r="Q36" s="9">
        <f>ROUND(M36+N36, 2)</f>
        <v/>
      </c>
      <c r="R36" s="9" t="n">
        <v>186</v>
      </c>
      <c r="S36" s="9" t="n">
        <v>106.95</v>
      </c>
      <c r="T36" s="9" t="n">
        <v>120.9</v>
      </c>
      <c r="U36" s="6" t="inlineStr"/>
      <c r="V36" s="6" t="inlineStr"/>
    </row>
    <row r="37" ht="20" customHeight="1">
      <c r="A37" s="2" t="n">
        <v>35</v>
      </c>
      <c r="B37" s="2" t="inlineStr">
        <is>
          <t>8A2371</t>
        </is>
      </c>
      <c r="C37" s="3" t="inlineStr">
        <is>
          <t>4-F-CTN</t>
        </is>
      </c>
      <c r="D37" s="2" t="inlineStr">
        <is>
          <t>520812</t>
        </is>
      </c>
      <c r="E37" s="2" t="inlineStr">
        <is>
          <t>GST 5 %</t>
        </is>
      </c>
      <c r="F37" s="2" t="inlineStr">
        <is>
          <t>Mtr</t>
        </is>
      </c>
      <c r="G37" s="4" t="n">
        <v>11</v>
      </c>
      <c r="H37" s="2" t="n">
        <v>45</v>
      </c>
      <c r="I37" s="5" t="n">
        <v>93</v>
      </c>
      <c r="J37" s="5" t="n">
        <v>2.79</v>
      </c>
      <c r="K37" s="5">
        <f>ROUND(G37*I37*(J37/100), 2)</f>
        <v/>
      </c>
      <c r="L37" s="5">
        <f>ROUND(I37-K37, 2)</f>
        <v/>
      </c>
      <c r="M37" s="5">
        <f>ROUND(G37*L37, 2)</f>
        <v/>
      </c>
      <c r="N37" s="5">
        <f>ROUND(M37*0.05, 2)</f>
        <v/>
      </c>
      <c r="O37" s="5" t="n">
        <v>0</v>
      </c>
      <c r="P37" s="5" t="n">
        <v>0</v>
      </c>
      <c r="Q37" s="5">
        <f>ROUND(M37+N37, 2)</f>
        <v/>
      </c>
      <c r="R37" s="5" t="n">
        <v>186</v>
      </c>
      <c r="S37" s="5" t="n">
        <v>106.95</v>
      </c>
      <c r="T37" s="5" t="n">
        <v>120.9</v>
      </c>
      <c r="U37" s="2" t="inlineStr"/>
      <c r="V37" s="2" t="inlineStr"/>
    </row>
    <row r="38" ht="20" customHeight="1">
      <c r="A38" s="6" t="n">
        <v>36</v>
      </c>
      <c r="B38" s="6" t="inlineStr">
        <is>
          <t>8A2372</t>
        </is>
      </c>
      <c r="C38" s="7" t="inlineStr">
        <is>
          <t>4-F-CTN</t>
        </is>
      </c>
      <c r="D38" s="6" t="inlineStr">
        <is>
          <t>520812</t>
        </is>
      </c>
      <c r="E38" s="6" t="inlineStr">
        <is>
          <t>GST 5 %</t>
        </is>
      </c>
      <c r="F38" s="6" t="inlineStr">
        <is>
          <t>Mtr</t>
        </is>
      </c>
      <c r="G38" s="8" t="n">
        <v>10.75</v>
      </c>
      <c r="H38" s="6" t="n">
        <v>45</v>
      </c>
      <c r="I38" s="9" t="n">
        <v>93</v>
      </c>
      <c r="J38" s="9" t="n">
        <v>2.79</v>
      </c>
      <c r="K38" s="9">
        <f>ROUND(G38*I38*(J38/100), 2)</f>
        <v/>
      </c>
      <c r="L38" s="9">
        <f>ROUND(I38-K38, 2)</f>
        <v/>
      </c>
      <c r="M38" s="9">
        <f>ROUND(G38*L38, 2)</f>
        <v/>
      </c>
      <c r="N38" s="9">
        <f>ROUND(M38*0.05, 2)</f>
        <v/>
      </c>
      <c r="O38" s="9" t="n">
        <v>0</v>
      </c>
      <c r="P38" s="9" t="n">
        <v>0</v>
      </c>
      <c r="Q38" s="9">
        <f>ROUND(M38+N38, 2)</f>
        <v/>
      </c>
      <c r="R38" s="9" t="n">
        <v>186</v>
      </c>
      <c r="S38" s="9" t="n">
        <v>106.95</v>
      </c>
      <c r="T38" s="9" t="n">
        <v>120.9</v>
      </c>
      <c r="U38" s="6" t="inlineStr"/>
      <c r="V38" s="6" t="inlineStr"/>
    </row>
    <row r="39" ht="20" customHeight="1">
      <c r="A39" s="2" t="n">
        <v>37</v>
      </c>
      <c r="B39" s="2" t="inlineStr">
        <is>
          <t>8A2373</t>
        </is>
      </c>
      <c r="C39" s="3" t="inlineStr">
        <is>
          <t>4-F-CTN</t>
        </is>
      </c>
      <c r="D39" s="2" t="inlineStr">
        <is>
          <t>520812</t>
        </is>
      </c>
      <c r="E39" s="2" t="inlineStr">
        <is>
          <t>GST 5 %</t>
        </is>
      </c>
      <c r="F39" s="2" t="inlineStr">
        <is>
          <t>Mtr</t>
        </is>
      </c>
      <c r="G39" s="4" t="n">
        <v>10</v>
      </c>
      <c r="H39" s="2" t="n">
        <v>45</v>
      </c>
      <c r="I39" s="5" t="n">
        <v>93</v>
      </c>
      <c r="J39" s="5" t="n">
        <v>2.79</v>
      </c>
      <c r="K39" s="5">
        <f>ROUND(G39*I39*(J39/100), 2)</f>
        <v/>
      </c>
      <c r="L39" s="5">
        <f>ROUND(I39-K39, 2)</f>
        <v/>
      </c>
      <c r="M39" s="5">
        <f>ROUND(G39*L39, 2)</f>
        <v/>
      </c>
      <c r="N39" s="5">
        <f>ROUND(M39*0.05, 2)</f>
        <v/>
      </c>
      <c r="O39" s="5" t="n">
        <v>0</v>
      </c>
      <c r="P39" s="5" t="n">
        <v>0</v>
      </c>
      <c r="Q39" s="5">
        <f>ROUND(M39+N39, 2)</f>
        <v/>
      </c>
      <c r="R39" s="5" t="n">
        <v>186</v>
      </c>
      <c r="S39" s="5" t="n">
        <v>106.95</v>
      </c>
      <c r="T39" s="5" t="n">
        <v>120.9</v>
      </c>
      <c r="U39" s="2" t="inlineStr"/>
      <c r="V39" s="2" t="inlineStr"/>
    </row>
    <row r="40" ht="20" customHeight="1">
      <c r="A40" s="6" t="n">
        <v>38</v>
      </c>
      <c r="B40" s="6" t="inlineStr">
        <is>
          <t>8A2374</t>
        </is>
      </c>
      <c r="C40" s="7" t="inlineStr">
        <is>
          <t>4-F-CTN</t>
        </is>
      </c>
      <c r="D40" s="6" t="inlineStr">
        <is>
          <t>520812</t>
        </is>
      </c>
      <c r="E40" s="6" t="inlineStr">
        <is>
          <t>GST 5 %</t>
        </is>
      </c>
      <c r="F40" s="6" t="inlineStr">
        <is>
          <t>Mtr</t>
        </is>
      </c>
      <c r="G40" s="8" t="n">
        <v>10</v>
      </c>
      <c r="H40" s="6" t="n">
        <v>45</v>
      </c>
      <c r="I40" s="9" t="n">
        <v>93</v>
      </c>
      <c r="J40" s="9" t="n">
        <v>2.79</v>
      </c>
      <c r="K40" s="9">
        <f>ROUND(G40*I40*(J40/100), 2)</f>
        <v/>
      </c>
      <c r="L40" s="9">
        <f>ROUND(I40-K40, 2)</f>
        <v/>
      </c>
      <c r="M40" s="9">
        <f>ROUND(G40*L40, 2)</f>
        <v/>
      </c>
      <c r="N40" s="9">
        <f>ROUND(M40*0.05, 2)</f>
        <v/>
      </c>
      <c r="O40" s="9" t="n">
        <v>0</v>
      </c>
      <c r="P40" s="9" t="n">
        <v>0</v>
      </c>
      <c r="Q40" s="9">
        <f>ROUND(M40+N40, 2)</f>
        <v/>
      </c>
      <c r="R40" s="9" t="n">
        <v>186</v>
      </c>
      <c r="S40" s="9" t="n">
        <v>106.95</v>
      </c>
      <c r="T40" s="9" t="n">
        <v>120.9</v>
      </c>
      <c r="U40" s="6" t="inlineStr"/>
      <c r="V40" s="6" t="inlineStr"/>
    </row>
    <row r="41" ht="20" customHeight="1">
      <c r="A41" s="2" t="n">
        <v>39</v>
      </c>
      <c r="B41" s="2" t="inlineStr">
        <is>
          <t>8A2375</t>
        </is>
      </c>
      <c r="C41" s="3" t="inlineStr">
        <is>
          <t>4-F-CTN</t>
        </is>
      </c>
      <c r="D41" s="2" t="inlineStr">
        <is>
          <t>520812</t>
        </is>
      </c>
      <c r="E41" s="2" t="inlineStr">
        <is>
          <t>GST 5 %</t>
        </is>
      </c>
      <c r="F41" s="2" t="inlineStr">
        <is>
          <t>Mtr</t>
        </is>
      </c>
      <c r="G41" s="4" t="n">
        <v>9.75</v>
      </c>
      <c r="H41" s="2" t="n">
        <v>45</v>
      </c>
      <c r="I41" s="5" t="n">
        <v>93</v>
      </c>
      <c r="J41" s="5" t="n">
        <v>2.79</v>
      </c>
      <c r="K41" s="5">
        <f>ROUND(G41*I41*(J41/100), 2)</f>
        <v/>
      </c>
      <c r="L41" s="5">
        <f>ROUND(I41-K41, 2)</f>
        <v/>
      </c>
      <c r="M41" s="5">
        <f>ROUND(G41*L41, 2)</f>
        <v/>
      </c>
      <c r="N41" s="5">
        <f>ROUND(M41*0.05, 2)</f>
        <v/>
      </c>
      <c r="O41" s="5" t="n">
        <v>0</v>
      </c>
      <c r="P41" s="5" t="n">
        <v>0</v>
      </c>
      <c r="Q41" s="5">
        <f>ROUND(M41+N41, 2)</f>
        <v/>
      </c>
      <c r="R41" s="5" t="n">
        <v>186</v>
      </c>
      <c r="S41" s="5" t="n">
        <v>106.95</v>
      </c>
      <c r="T41" s="5" t="n">
        <v>120.9</v>
      </c>
      <c r="U41" s="2" t="inlineStr"/>
      <c r="V41" s="2" t="inlineStr"/>
    </row>
    <row r="42" ht="20" customHeight="1">
      <c r="A42" s="6" t="n">
        <v>40</v>
      </c>
      <c r="B42" s="6" t="inlineStr">
        <is>
          <t>8A2376</t>
        </is>
      </c>
      <c r="C42" s="7" t="inlineStr">
        <is>
          <t>4-F-CTN</t>
        </is>
      </c>
      <c r="D42" s="6" t="inlineStr">
        <is>
          <t>520812</t>
        </is>
      </c>
      <c r="E42" s="6" t="inlineStr">
        <is>
          <t>GST 5 %</t>
        </is>
      </c>
      <c r="F42" s="6" t="inlineStr">
        <is>
          <t>Mtr</t>
        </is>
      </c>
      <c r="G42" s="8" t="n">
        <v>10</v>
      </c>
      <c r="H42" s="6" t="n">
        <v>45</v>
      </c>
      <c r="I42" s="9" t="n">
        <v>93</v>
      </c>
      <c r="J42" s="9" t="n">
        <v>2.79</v>
      </c>
      <c r="K42" s="9">
        <f>ROUND(G42*I42*(J42/100), 2)</f>
        <v/>
      </c>
      <c r="L42" s="9">
        <f>ROUND(I42-K42, 2)</f>
        <v/>
      </c>
      <c r="M42" s="9">
        <f>ROUND(G42*L42, 2)</f>
        <v/>
      </c>
      <c r="N42" s="9">
        <f>ROUND(M42*0.05, 2)</f>
        <v/>
      </c>
      <c r="O42" s="9" t="n">
        <v>0</v>
      </c>
      <c r="P42" s="9" t="n">
        <v>0</v>
      </c>
      <c r="Q42" s="9">
        <f>ROUND(M42+N42, 2)</f>
        <v/>
      </c>
      <c r="R42" s="9" t="n">
        <v>186</v>
      </c>
      <c r="S42" s="9" t="n">
        <v>106.95</v>
      </c>
      <c r="T42" s="9" t="n">
        <v>120.9</v>
      </c>
      <c r="U42" s="6" t="inlineStr"/>
      <c r="V42" s="6" t="inlineStr"/>
    </row>
    <row r="43" ht="20" customHeight="1">
      <c r="A43" s="2" t="n">
        <v>41</v>
      </c>
      <c r="B43" s="2" t="inlineStr">
        <is>
          <t>8A2377</t>
        </is>
      </c>
      <c r="C43" s="3" t="inlineStr">
        <is>
          <t>4-F-CTN</t>
        </is>
      </c>
      <c r="D43" s="2" t="inlineStr">
        <is>
          <t>520812</t>
        </is>
      </c>
      <c r="E43" s="2" t="inlineStr">
        <is>
          <t>GST 5 %</t>
        </is>
      </c>
      <c r="F43" s="2" t="inlineStr">
        <is>
          <t>Mtr</t>
        </is>
      </c>
      <c r="G43" s="4" t="n">
        <v>10</v>
      </c>
      <c r="H43" s="2" t="n">
        <v>45</v>
      </c>
      <c r="I43" s="5" t="n">
        <v>93</v>
      </c>
      <c r="J43" s="5" t="n">
        <v>2.79</v>
      </c>
      <c r="K43" s="5">
        <f>ROUND(G43*I43*(J43/100), 2)</f>
        <v/>
      </c>
      <c r="L43" s="5">
        <f>ROUND(I43-K43, 2)</f>
        <v/>
      </c>
      <c r="M43" s="5">
        <f>ROUND(G43*L43, 2)</f>
        <v/>
      </c>
      <c r="N43" s="5">
        <f>ROUND(M43*0.05, 2)</f>
        <v/>
      </c>
      <c r="O43" s="5" t="n">
        <v>0</v>
      </c>
      <c r="P43" s="5" t="n">
        <v>0</v>
      </c>
      <c r="Q43" s="5">
        <f>ROUND(M43+N43, 2)</f>
        <v/>
      </c>
      <c r="R43" s="5" t="n">
        <v>186</v>
      </c>
      <c r="S43" s="5" t="n">
        <v>106.95</v>
      </c>
      <c r="T43" s="5" t="n">
        <v>120.9</v>
      </c>
      <c r="U43" s="2" t="inlineStr"/>
      <c r="V43" s="2" t="inlineStr"/>
    </row>
    <row r="44" ht="20" customHeight="1">
      <c r="A44" s="6" t="n">
        <v>42</v>
      </c>
      <c r="B44" s="6" t="inlineStr">
        <is>
          <t>8A2378</t>
        </is>
      </c>
      <c r="C44" s="7" t="inlineStr">
        <is>
          <t>4-F-CTN</t>
        </is>
      </c>
      <c r="D44" s="6" t="inlineStr">
        <is>
          <t>520812</t>
        </is>
      </c>
      <c r="E44" s="6" t="inlineStr">
        <is>
          <t>GST 5 %</t>
        </is>
      </c>
      <c r="F44" s="6" t="inlineStr">
        <is>
          <t>Mtr</t>
        </is>
      </c>
      <c r="G44" s="8" t="n">
        <v>10</v>
      </c>
      <c r="H44" s="6" t="n">
        <v>45</v>
      </c>
      <c r="I44" s="9" t="n">
        <v>93</v>
      </c>
      <c r="J44" s="9" t="n">
        <v>2.79</v>
      </c>
      <c r="K44" s="9">
        <f>ROUND(G44*I44*(J44/100), 2)</f>
        <v/>
      </c>
      <c r="L44" s="9">
        <f>ROUND(I44-K44, 2)</f>
        <v/>
      </c>
      <c r="M44" s="9">
        <f>ROUND(G44*L44, 2)</f>
        <v/>
      </c>
      <c r="N44" s="9">
        <f>ROUND(M44*0.05, 2)</f>
        <v/>
      </c>
      <c r="O44" s="9" t="n">
        <v>0</v>
      </c>
      <c r="P44" s="9" t="n">
        <v>0</v>
      </c>
      <c r="Q44" s="9">
        <f>ROUND(M44+N44, 2)</f>
        <v/>
      </c>
      <c r="R44" s="9" t="n">
        <v>186</v>
      </c>
      <c r="S44" s="9" t="n">
        <v>106.95</v>
      </c>
      <c r="T44" s="9" t="n">
        <v>120.9</v>
      </c>
      <c r="U44" s="6" t="inlineStr"/>
      <c r="V44" s="6" t="inlineStr"/>
    </row>
    <row r="45" ht="20" customHeight="1">
      <c r="A45" s="2" t="n">
        <v>43</v>
      </c>
      <c r="B45" s="2" t="inlineStr">
        <is>
          <t>8A2379</t>
        </is>
      </c>
      <c r="C45" s="3" t="inlineStr">
        <is>
          <t>4-F-CTN</t>
        </is>
      </c>
      <c r="D45" s="2" t="inlineStr">
        <is>
          <t>520812</t>
        </is>
      </c>
      <c r="E45" s="2" t="inlineStr">
        <is>
          <t>GST 5 %</t>
        </is>
      </c>
      <c r="F45" s="2" t="inlineStr">
        <is>
          <t>Mtr</t>
        </is>
      </c>
      <c r="G45" s="4" t="n">
        <v>9.75</v>
      </c>
      <c r="H45" s="2" t="n">
        <v>45</v>
      </c>
      <c r="I45" s="5" t="n">
        <v>93</v>
      </c>
      <c r="J45" s="5" t="n">
        <v>2.79</v>
      </c>
      <c r="K45" s="5">
        <f>ROUND(G45*I45*(J45/100), 2)</f>
        <v/>
      </c>
      <c r="L45" s="5">
        <f>ROUND(I45-K45, 2)</f>
        <v/>
      </c>
      <c r="M45" s="5">
        <f>ROUND(G45*L45, 2)</f>
        <v/>
      </c>
      <c r="N45" s="5">
        <f>ROUND(M45*0.05, 2)</f>
        <v/>
      </c>
      <c r="O45" s="5" t="n">
        <v>0</v>
      </c>
      <c r="P45" s="5" t="n">
        <v>0</v>
      </c>
      <c r="Q45" s="5">
        <f>ROUND(M45+N45, 2)</f>
        <v/>
      </c>
      <c r="R45" s="5" t="n">
        <v>186</v>
      </c>
      <c r="S45" s="5" t="n">
        <v>106.95</v>
      </c>
      <c r="T45" s="5" t="n">
        <v>120.9</v>
      </c>
      <c r="U45" s="2" t="inlineStr"/>
      <c r="V45" s="2" t="inlineStr"/>
    </row>
    <row r="46" ht="20" customHeight="1">
      <c r="A46" s="6" t="n">
        <v>44</v>
      </c>
      <c r="B46" s="6" t="inlineStr">
        <is>
          <t>8A2380</t>
        </is>
      </c>
      <c r="C46" s="7" t="inlineStr">
        <is>
          <t>4-F-CTN</t>
        </is>
      </c>
      <c r="D46" s="6" t="inlineStr">
        <is>
          <t>520812</t>
        </is>
      </c>
      <c r="E46" s="6" t="inlineStr">
        <is>
          <t>GST 5 %</t>
        </is>
      </c>
      <c r="F46" s="6" t="inlineStr">
        <is>
          <t>Mtr</t>
        </is>
      </c>
      <c r="G46" s="8" t="n">
        <v>12</v>
      </c>
      <c r="H46" s="6" t="n">
        <v>45</v>
      </c>
      <c r="I46" s="9" t="n">
        <v>93</v>
      </c>
      <c r="J46" s="9" t="n">
        <v>2.79</v>
      </c>
      <c r="K46" s="9">
        <f>ROUND(G46*I46*(J46/100), 2)</f>
        <v/>
      </c>
      <c r="L46" s="9">
        <f>ROUND(I46-K46, 2)</f>
        <v/>
      </c>
      <c r="M46" s="9">
        <f>ROUND(G46*L46, 2)</f>
        <v/>
      </c>
      <c r="N46" s="9">
        <f>ROUND(M46*0.05, 2)</f>
        <v/>
      </c>
      <c r="O46" s="9" t="n">
        <v>0</v>
      </c>
      <c r="P46" s="9" t="n">
        <v>0</v>
      </c>
      <c r="Q46" s="9">
        <f>ROUND(M46+N46, 2)</f>
        <v/>
      </c>
      <c r="R46" s="9" t="n">
        <v>186</v>
      </c>
      <c r="S46" s="9" t="n">
        <v>106.95</v>
      </c>
      <c r="T46" s="9" t="n">
        <v>120.9</v>
      </c>
      <c r="U46" s="6" t="inlineStr"/>
      <c r="V46" s="6" t="inlineStr"/>
    </row>
    <row r="47" ht="24" customHeight="1">
      <c r="A47" s="2" t="n">
        <v>45</v>
      </c>
      <c r="B47" s="2" t="inlineStr">
        <is>
          <t>8A2381</t>
        </is>
      </c>
      <c r="C47" s="3" t="inlineStr">
        <is>
          <t>4-F-CTN</t>
        </is>
      </c>
      <c r="D47" s="2" t="inlineStr">
        <is>
          <t>520812</t>
        </is>
      </c>
      <c r="E47" s="2" t="inlineStr">
        <is>
          <t>GST 5 %</t>
        </is>
      </c>
      <c r="F47" s="2" t="inlineStr">
        <is>
          <t>Mtr</t>
        </is>
      </c>
      <c r="G47" s="4" t="n">
        <v>12</v>
      </c>
      <c r="H47" s="2" t="n">
        <v>45</v>
      </c>
      <c r="I47" s="5" t="n">
        <v>93</v>
      </c>
      <c r="J47" s="5" t="n">
        <v>2.79</v>
      </c>
      <c r="K47" s="5">
        <f>ROUND(G47*I47*(J47/100), 2)</f>
        <v/>
      </c>
      <c r="L47" s="5">
        <f>ROUND(I47-K47, 2)</f>
        <v/>
      </c>
      <c r="M47" s="5">
        <f>ROUND(G47*L47, 2)</f>
        <v/>
      </c>
      <c r="N47" s="5">
        <f>ROUND(M47*0.05, 2)</f>
        <v/>
      </c>
      <c r="O47" s="5" t="n">
        <v>0</v>
      </c>
      <c r="P47" s="5" t="n">
        <v>0</v>
      </c>
      <c r="Q47" s="5">
        <f>ROUND(M47+N47, 2)</f>
        <v/>
      </c>
      <c r="R47" s="5" t="n">
        <v>186</v>
      </c>
      <c r="S47" s="5" t="n">
        <v>106.95</v>
      </c>
      <c r="T47" s="5" t="n">
        <v>120.9</v>
      </c>
      <c r="U47" s="2" t="inlineStr"/>
      <c r="V47" s="2" t="inlineStr"/>
    </row>
    <row r="48">
      <c r="A48" s="10" t="inlineStr">
        <is>
          <t>Total</t>
        </is>
      </c>
      <c r="B48" s="17" t="n"/>
      <c r="C48" s="17" t="n"/>
      <c r="D48" s="17" t="n"/>
      <c r="E48" s="17" t="n"/>
      <c r="F48" s="18" t="n"/>
      <c r="G48" s="11">
        <f>SUM(G3:G47)</f>
        <v/>
      </c>
      <c r="H48" s="12">
        <f>SUM(H3:H47)</f>
        <v/>
      </c>
      <c r="I48" s="11">
        <f>SUM(I3:I47)</f>
        <v/>
      </c>
      <c r="J48" s="11">
        <f>SUM(J3:J47)</f>
        <v/>
      </c>
      <c r="K48" s="11">
        <f>SUM(K3:K47)</f>
        <v/>
      </c>
      <c r="L48" s="11">
        <f>SUM(L3:L47)</f>
        <v/>
      </c>
      <c r="M48" s="11">
        <f>SUM(M3:M47)</f>
        <v/>
      </c>
      <c r="N48" s="11">
        <f>SUM(N3:N47)</f>
        <v/>
      </c>
      <c r="O48" s="11">
        <f>SUM(O3:O47)</f>
        <v/>
      </c>
      <c r="P48" s="11">
        <f>SUM(P3:P47)</f>
        <v/>
      </c>
      <c r="Q48" s="11">
        <f>SUM(Q3:Q47)</f>
        <v/>
      </c>
      <c r="R48" s="11">
        <f>SUM(R3:R47)</f>
        <v/>
      </c>
      <c r="S48" s="11">
        <f>SUM(S3:S47)</f>
        <v/>
      </c>
      <c r="T48" s="11">
        <f>SUM(T3:T47)</f>
        <v/>
      </c>
      <c r="U48" s="11" t="n"/>
      <c r="V48" s="11" t="n"/>
    </row>
    <row r="51">
      <c r="A51" s="19" t="inlineStr">
        <is>
          <t>ITEM SUMMARY</t>
        </is>
      </c>
    </row>
    <row r="53">
      <c r="A53" s="20" t="inlineStr">
        <is>
          <t>Sl No</t>
        </is>
      </c>
      <c r="B53" s="20" t="inlineStr">
        <is>
          <t>Bill Sl No.</t>
        </is>
      </c>
      <c r="C53" s="20" t="inlineStr">
        <is>
          <t>Item Name</t>
        </is>
      </c>
      <c r="D53" s="20" t="inlineStr">
        <is>
          <t>QTY</t>
        </is>
      </c>
      <c r="E53" s="20" t="inlineStr">
        <is>
          <t>Before GST Amount</t>
        </is>
      </c>
      <c r="F53" s="20" t="inlineStr">
        <is>
          <t>GST Amount</t>
        </is>
      </c>
      <c r="G53" s="20" t="inlineStr">
        <is>
          <t>Net Amount</t>
        </is>
      </c>
    </row>
    <row r="54">
      <c r="A54" s="21" t="n">
        <v>1</v>
      </c>
      <c r="B54" s="21" t="n">
        <v>1</v>
      </c>
      <c r="C54" s="21" t="inlineStr">
        <is>
          <t>4-F-CTN</t>
        </is>
      </c>
      <c r="D54" s="22" t="n">
        <v>489.5</v>
      </c>
      <c r="E54" s="22" t="n">
        <v>42855.73</v>
      </c>
      <c r="F54" s="22" t="n">
        <v>2142.79</v>
      </c>
      <c r="G54" s="22" t="n">
        <v>44998.51</v>
      </c>
    </row>
    <row r="55">
      <c r="A55" s="23" t="n"/>
      <c r="B55" s="23" t="n"/>
      <c r="C55" s="24" t="inlineStr">
        <is>
          <t>Total</t>
        </is>
      </c>
      <c r="D55" s="25" t="n">
        <v>489.5</v>
      </c>
      <c r="E55" s="25" t="n">
        <v>42855.73</v>
      </c>
      <c r="F55" s="25" t="n">
        <v>2142.79</v>
      </c>
      <c r="G55" s="25" t="n">
        <v>44998.51</v>
      </c>
    </row>
  </sheetData>
  <mergeCells count="18">
    <mergeCell ref="U1:U2"/>
    <mergeCell ref="T1:T2"/>
    <mergeCell ref="I1:I2"/>
    <mergeCell ref="M1:M2"/>
    <mergeCell ref="Q1:Q2"/>
    <mergeCell ref="O1:O2"/>
    <mergeCell ref="J1:K1"/>
    <mergeCell ref="G1:G2"/>
    <mergeCell ref="V1:V2"/>
    <mergeCell ref="A48:F48"/>
    <mergeCell ref="H1:H2"/>
    <mergeCell ref="B1:F1"/>
    <mergeCell ref="L1:L2"/>
    <mergeCell ref="A1:A2"/>
    <mergeCell ref="P1:P2"/>
    <mergeCell ref="N1:N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2026-09-07T07:11:31Z</dcterms:created>
  <dcterms:modified xmlns:dcterms="http://purl.org/dc/terms/" xmlns:xsi="http://www.w3.org/2001/XMLSchema-instance" xsi:type="dcterms:W3CDTF">2026-09-12T04:34:32Z</dcterms:modified>
</cp:coreProperties>
</file>