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G15" i="1" s="1"/>
  <c r="F11" i="1"/>
  <c r="F15" i="1" s="1"/>
  <c r="E11" i="1"/>
  <c r="E15" i="1" s="1"/>
  <c r="D11" i="1"/>
  <c r="D15" i="1" s="1"/>
  <c r="C11" i="1"/>
  <c r="T7" i="1"/>
  <c r="S7" i="1"/>
  <c r="R7" i="1"/>
  <c r="Q7" i="1"/>
  <c r="P7" i="1"/>
  <c r="O7" i="1"/>
  <c r="N7" i="1"/>
  <c r="M7" i="1"/>
  <c r="G7" i="1"/>
</calcChain>
</file>

<file path=xl/sharedStrings.xml><?xml version="1.0" encoding="utf-8"?>
<sst xmlns="http://schemas.openxmlformats.org/spreadsheetml/2006/main" count="55" uniqueCount="39">
  <si>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</si>
  <si>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</si>
  <si>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</si>
  <si>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</si>
  <si>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</si>
  <si>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</si>
  <si>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</si>
  <si>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</si>
  <si>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</si>
  <si>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</si>
  <si>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</si>
  <si>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</si>
  <si>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</si>
  <si>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</si>
  <si>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</si>
  <si>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</si>
  <si>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</si>
  <si>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</si>
  <si>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</si>
  <si>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</si>
  <si>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</si>
  <si>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</si>
  <si>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</si>
  <si>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</si>
  <si>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</si>
  <si>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8A1820</t>
  </si>
  <si>
    <t>FX-CRB</t>
  </si>
  <si>
    <t>540784</t>
  </si>
  <si>
    <t>GST 5 %</t>
  </si>
  <si>
    <t>Pc(s)</t>
  </si>
  <si>
    <t>8A1821</t>
  </si>
  <si>
    <t>8A1822</t>
  </si>
  <si>
    <t>8A1823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</si>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</sst>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₹#,##0.00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Segoe UI"/>
      <charset val="1"/>
    </font>
    <font>
      <sz val="10"/>
      <color rgb="FF333333"/>
      <name val="Segoe UI"/>
      <charset val="1"/>
    </font>
    <font>
      <b/>
      <sz val="10"/>
      <color rgb="FF1C2833"/>
      <name val="Segoe UI"/>
      <charset val="1"/>
    </font>
    <font>
      <b/>
      <sz val="12"/>
      <color rgb="FF34495E"/>
      <name val="Segoe UI"/>
      <charset val="1"/>
    </font>
    <font>
      <sz val="10"/>
      <name val="Segoe UI"/>
      <charset val="1"/>
    </font>
    <font>
      <b/>
      <sz val="10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34495E"/>
        <bgColor rgb="FF333333"/>
      </patternFill>
    </fill>
    <fill>
      <patternFill patternType="solid">
        <fgColor rgb="FF4E6D8C"/>
        <bgColor rgb="FF80808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D9E1F2"/>
        <bgColor rgb="FFD5D8DC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1C2833"/>
      </top>
      <bottom style="double">
        <color rgb="FF1C283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6" borderId="1" xfId="0" applyFont="1" applyFill="1" applyBorder="1" applyAlignment="1">
      <alignment horizontal="center" vertical="center"/>
    </xf>
    <xf numFmtId="0" fontId="4" fillId="0" borderId="0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4" fontId="3" fillId="4" borderId="2" xfId="0" applyNumberFormat="1" applyFont="1" applyFill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D9E1F2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E6D8C"/>
      <rgbColor rgb="FF969696"/>
      <rgbColor rgb="FF003366"/>
      <rgbColor rgb="FF339966"/>
      <rgbColor rgb="FF003300"/>
      <rgbColor rgb="FF1C2833"/>
      <rgbColor rgb="FF993300"/>
      <rgbColor rgb="FF993366"/>
      <rgbColor rgb="FF34495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10" customWidth="1"/>
    <col min="2" max="3" width="14" customWidth="1"/>
    <col min="4" max="8" width="15" customWidth="1"/>
    <col min="9" max="9" width="14" customWidth="1"/>
    <col min="10" max="10" width="12" customWidth="1"/>
    <col min="11" max="11" width="10" customWidth="1"/>
    <col min="12" max="12" width="12" customWidth="1"/>
    <col min="13" max="13" width="14" customWidth="1"/>
    <col min="14" max="16" width="12" customWidth="1"/>
    <col min="17" max="17" width="14" customWidth="1"/>
    <col min="18" max="21" width="12" customWidth="1"/>
    <col min="22" max="22" width="10" customWidth="1"/>
  </cols>
  <sheetData>
    <row r="1" spans="1:22" ht="24.75" customHeight="1" x14ac:dyDescent="0.3">
      <c r="A1" s="3" t="s">
        <v>0</v>
      </c>
      <c r="B1" s="3" t="s">
        <v>1</v>
      </c>
      <c r="C1" s="3"/>
      <c r="D1" s="3"/>
      <c r="E1" s="3"/>
      <c r="F1" s="3"/>
      <c r="G1" s="3" t="s">
        <v>2</v>
      </c>
      <c r="H1" s="3" t="s">
        <v>3</v>
      </c>
      <c r="I1" s="3" t="s">
        <v>4</v>
      </c>
      <c r="J1" s="3" t="s">
        <v>5</v>
      </c>
      <c r="K1" s="3"/>
      <c r="L1" s="3" t="s">
        <v>6</v>
      </c>
      <c r="M1" s="3" t="s">
        <v>7</v>
      </c>
      <c r="N1" s="3" t="s">
        <v>8</v>
      </c>
      <c r="O1" s="3"/>
      <c r="P1" s="3"/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</row>
    <row r="2" spans="1:22" ht="21.75" customHeight="1" x14ac:dyDescent="0.3">
      <c r="A2" s="3"/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3"/>
      <c r="H2" s="3"/>
      <c r="I2" s="3"/>
      <c r="J2" s="5" t="s">
        <v>20</v>
      </c>
      <c r="K2" s="5" t="s">
        <v>21</v>
      </c>
      <c r="L2" s="3"/>
      <c r="M2" s="3"/>
      <c r="N2" s="5" t="s">
        <v>22</v>
      </c>
      <c r="O2" s="5" t="s">
        <v>23</v>
      </c>
      <c r="P2" s="5" t="s">
        <v>24</v>
      </c>
      <c r="Q2" s="3"/>
      <c r="R2" s="3"/>
      <c r="S2" s="3"/>
      <c r="T2" s="3"/>
      <c r="U2" s="3"/>
      <c r="V2" s="3"/>
    </row>
    <row r="3" spans="1:22" ht="19.5" customHeight="1" x14ac:dyDescent="0.3">
      <c r="A3" s="6">
        <v>1</v>
      </c>
      <c r="B3" s="7" t="s">
        <v>25</v>
      </c>
      <c r="C3" s="8" t="s">
        <v>26</v>
      </c>
      <c r="D3" s="7" t="s">
        <v>27</v>
      </c>
      <c r="E3" s="7" t="s">
        <v>28</v>
      </c>
      <c r="F3" s="7" t="s">
        <v>29</v>
      </c>
      <c r="G3" s="9">
        <v>28</v>
      </c>
      <c r="H3" s="7"/>
      <c r="I3" s="10">
        <v>345</v>
      </c>
      <c r="J3" s="10">
        <v>17.25</v>
      </c>
      <c r="K3" s="10">
        <v>0</v>
      </c>
      <c r="L3" s="10">
        <v>327.75</v>
      </c>
      <c r="M3" s="10">
        <v>9177</v>
      </c>
      <c r="N3" s="10">
        <v>458.85</v>
      </c>
      <c r="O3" s="10">
        <v>0</v>
      </c>
      <c r="P3" s="10">
        <v>0</v>
      </c>
      <c r="Q3" s="10">
        <v>9635.85</v>
      </c>
      <c r="R3" s="10">
        <v>550</v>
      </c>
      <c r="S3" s="10">
        <v>396.75</v>
      </c>
      <c r="T3" s="10">
        <v>448.5</v>
      </c>
      <c r="U3" s="7"/>
      <c r="V3" s="7"/>
    </row>
    <row r="4" spans="1:22" ht="19.5" customHeight="1" x14ac:dyDescent="0.3">
      <c r="A4" s="11">
        <v>2</v>
      </c>
      <c r="B4" s="12" t="s">
        <v>30</v>
      </c>
      <c r="C4" s="13" t="s">
        <v>26</v>
      </c>
      <c r="D4" s="12" t="s">
        <v>27</v>
      </c>
      <c r="E4" s="12" t="s">
        <v>28</v>
      </c>
      <c r="F4" s="12" t="s">
        <v>29</v>
      </c>
      <c r="G4" s="14">
        <v>19</v>
      </c>
      <c r="H4" s="12"/>
      <c r="I4" s="15">
        <v>345</v>
      </c>
      <c r="J4" s="15">
        <v>17.25</v>
      </c>
      <c r="K4" s="15">
        <v>0</v>
      </c>
      <c r="L4" s="15">
        <v>327.75</v>
      </c>
      <c r="M4" s="15">
        <v>6227.25</v>
      </c>
      <c r="N4" s="15">
        <v>311.36</v>
      </c>
      <c r="O4" s="15">
        <v>0</v>
      </c>
      <c r="P4" s="15">
        <v>0</v>
      </c>
      <c r="Q4" s="15">
        <v>6538.61</v>
      </c>
      <c r="R4" s="15">
        <v>550</v>
      </c>
      <c r="S4" s="15">
        <v>396.75</v>
      </c>
      <c r="T4" s="15">
        <v>448.5</v>
      </c>
      <c r="U4" s="12"/>
      <c r="V4" s="12"/>
    </row>
    <row r="5" spans="1:22" ht="19.5" customHeight="1" x14ac:dyDescent="0.3">
      <c r="A5" s="6">
        <v>3</v>
      </c>
      <c r="B5" s="7" t="s">
        <v>31</v>
      </c>
      <c r="C5" s="8" t="s">
        <v>26</v>
      </c>
      <c r="D5" s="7" t="s">
        <v>27</v>
      </c>
      <c r="E5" s="7" t="s">
        <v>28</v>
      </c>
      <c r="F5" s="7" t="s">
        <v>29</v>
      </c>
      <c r="G5" s="9">
        <v>20</v>
      </c>
      <c r="H5" s="7"/>
      <c r="I5" s="10">
        <v>345</v>
      </c>
      <c r="J5" s="10">
        <v>17.25</v>
      </c>
      <c r="K5" s="10">
        <v>0</v>
      </c>
      <c r="L5" s="10">
        <v>327.75</v>
      </c>
      <c r="M5" s="10">
        <v>6555</v>
      </c>
      <c r="N5" s="10">
        <v>327.75</v>
      </c>
      <c r="O5" s="10">
        <v>0</v>
      </c>
      <c r="P5" s="10">
        <v>0</v>
      </c>
      <c r="Q5" s="10">
        <v>6882.75</v>
      </c>
      <c r="R5" s="10">
        <v>550</v>
      </c>
      <c r="S5" s="10">
        <v>396.75</v>
      </c>
      <c r="T5" s="10">
        <v>448.5</v>
      </c>
      <c r="U5" s="7"/>
      <c r="V5" s="7"/>
    </row>
    <row r="6" spans="1:22" ht="19.5" customHeight="1" x14ac:dyDescent="0.3">
      <c r="A6" s="11">
        <v>4</v>
      </c>
      <c r="B6" s="12" t="s">
        <v>32</v>
      </c>
      <c r="C6" s="13" t="s">
        <v>26</v>
      </c>
      <c r="D6" s="12" t="s">
        <v>27</v>
      </c>
      <c r="E6" s="12" t="s">
        <v>28</v>
      </c>
      <c r="F6" s="12" t="s">
        <v>29</v>
      </c>
      <c r="G6" s="14">
        <v>19</v>
      </c>
      <c r="H6" s="12"/>
      <c r="I6" s="15">
        <v>345</v>
      </c>
      <c r="J6" s="15">
        <v>17.25</v>
      </c>
      <c r="K6" s="15">
        <v>0</v>
      </c>
      <c r="L6" s="15">
        <v>327.75</v>
      </c>
      <c r="M6" s="15">
        <v>6227.25</v>
      </c>
      <c r="N6" s="15">
        <v>311.36</v>
      </c>
      <c r="O6" s="15">
        <v>0</v>
      </c>
      <c r="P6" s="15">
        <v>0</v>
      </c>
      <c r="Q6" s="15">
        <v>6538.61</v>
      </c>
      <c r="R6" s="15">
        <v>550</v>
      </c>
      <c r="S6" s="15">
        <v>396.75</v>
      </c>
      <c r="T6" s="15">
        <v>448.5</v>
      </c>
      <c r="U6" s="12"/>
      <c r="V6" s="12"/>
    </row>
    <row r="7" spans="1:22" ht="21.75" customHeight="1" x14ac:dyDescent="0.35">
      <c r="A7" s="16" t="s">
        <v>33</v>
      </c>
      <c r="B7" s="17"/>
      <c r="C7" s="17"/>
      <c r="D7" s="17"/>
      <c r="E7" s="17"/>
      <c r="F7" s="17"/>
      <c r="G7" s="18">
        <f>SUM(G3:G6)</f>
        <v>86</v>
      </c>
      <c r="H7" s="16"/>
      <c r="I7" s="17"/>
      <c r="J7" s="17"/>
      <c r="K7" s="17"/>
      <c r="L7" s="17"/>
      <c r="M7" s="19">
        <f t="shared" ref="M7:T7" si="0">SUM(M3:M6)</f>
        <v>28186.5</v>
      </c>
      <c r="N7" s="19">
        <f t="shared" si="0"/>
        <v>1409.3200000000002</v>
      </c>
      <c r="O7" s="19">
        <f t="shared" si="0"/>
        <v>0</v>
      </c>
      <c r="P7" s="19">
        <f t="shared" si="0"/>
        <v>0</v>
      </c>
      <c r="Q7" s="19">
        <f t="shared" si="0"/>
        <v>29595.82</v>
      </c>
      <c r="R7" s="19">
        <f t="shared" si="0"/>
        <v>2200</v>
      </c>
      <c r="S7" s="19">
        <f t="shared" si="0"/>
        <v>1587</v>
      </c>
      <c r="T7" s="19">
        <f t="shared" si="0"/>
        <v>1794</v>
      </c>
      <c r="U7" s="17"/>
      <c r="V7" s="17"/>
    </row>
    <row r="9" spans="1:22" ht="19.2" x14ac:dyDescent="0.45">
      <c r="A9" s="2" t="s">
        <v>34</v>
      </c>
      <c r="B9" s="2"/>
      <c r="C9" s="2"/>
      <c r="D9" s="2"/>
      <c r="E9" s="2"/>
      <c r="F9" s="2"/>
      <c r="G9" s="2"/>
    </row>
    <row r="10" spans="1:22" ht="30" x14ac:dyDescent="0.3">
      <c r="A10" s="4" t="s">
        <v>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8</v>
      </c>
      <c r="G10" s="4" t="s">
        <v>9</v>
      </c>
    </row>
    <row r="11" spans="1:22" ht="15" x14ac:dyDescent="0.3">
      <c r="A11" s="20">
        <v>1</v>
      </c>
      <c r="B11" s="20">
        <v>1</v>
      </c>
      <c r="C11" s="20" t="str">
        <f>C3</f>
        <v>FX-CRB</v>
      </c>
      <c r="D11" s="21">
        <f>G3</f>
        <v>28</v>
      </c>
      <c r="E11" s="21">
        <f>M3</f>
        <v>9177</v>
      </c>
      <c r="F11" s="21">
        <f>N3+O3+P3</f>
        <v>458.85</v>
      </c>
      <c r="G11" s="21">
        <f>Q3</f>
        <v>9635.85</v>
      </c>
    </row>
    <row r="12" spans="1:22" ht="15" x14ac:dyDescent="0.3">
      <c r="A12" s="20">
        <v>2</v>
      </c>
      <c r="B12" s="20">
        <v>2</v>
      </c>
      <c r="C12" s="20" t="str">
        <f>C4</f>
        <v>FX-CRB</v>
      </c>
      <c r="D12" s="21">
        <f>G4</f>
        <v>19</v>
      </c>
      <c r="E12" s="21">
        <f>M4</f>
        <v>6227.25</v>
      </c>
      <c r="F12" s="21">
        <f>N4+O4+P4</f>
        <v>311.36</v>
      </c>
      <c r="G12" s="21">
        <f>Q4</f>
        <v>6538.61</v>
      </c>
    </row>
    <row r="13" spans="1:22" ht="15" x14ac:dyDescent="0.3">
      <c r="A13" s="20">
        <v>3</v>
      </c>
      <c r="B13" s="20">
        <v>3</v>
      </c>
      <c r="C13" s="20" t="str">
        <f>C5</f>
        <v>FX-CRB</v>
      </c>
      <c r="D13" s="21">
        <f>G5</f>
        <v>20</v>
      </c>
      <c r="E13" s="21">
        <f>M5</f>
        <v>6555</v>
      </c>
      <c r="F13" s="21">
        <f>N5+O5+P5</f>
        <v>327.75</v>
      </c>
      <c r="G13" s="21">
        <f>Q5</f>
        <v>6882.75</v>
      </c>
    </row>
    <row r="14" spans="1:22" ht="15" x14ac:dyDescent="0.3">
      <c r="A14" s="20">
        <v>4</v>
      </c>
      <c r="B14" s="20">
        <v>4</v>
      </c>
      <c r="C14" s="20" t="str">
        <f>C6</f>
        <v>FX-CRB</v>
      </c>
      <c r="D14" s="21">
        <f>G6</f>
        <v>19</v>
      </c>
      <c r="E14" s="21">
        <f>M6</f>
        <v>6227.25</v>
      </c>
      <c r="F14" s="21">
        <f>N6+O6+P6</f>
        <v>311.36</v>
      </c>
      <c r="G14" s="21">
        <f>Q6</f>
        <v>6538.61</v>
      </c>
    </row>
    <row r="15" spans="1:22" ht="15" x14ac:dyDescent="0.3">
      <c r="A15" s="1" t="s">
        <v>33</v>
      </c>
      <c r="B15" s="1"/>
      <c r="C15" s="1"/>
      <c r="D15" s="22">
        <f>SUM(D11:D14)</f>
        <v>86</v>
      </c>
      <c r="E15" s="22">
        <f>SUM(E11:E14)</f>
        <v>28186.5</v>
      </c>
      <c r="F15" s="22">
        <f>SUM(F11:F14)</f>
        <v>1409.3200000000002</v>
      </c>
      <c r="G15" s="22">
        <f>SUM(G11:G14)</f>
        <v>29595.82</v>
      </c>
    </row>
  </sheetData>
  <mergeCells count="17">
    <mergeCell ref="A9:G9"/>
    <mergeCell ref="A15:C15"/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2026-09-09T05:16:31Z</dcterms:created>
  <dcterms:modified xsi:type="dcterms:W3CDTF">2026-09-10T12:40:27Z</dcterms:modified>
  <dc:language>en-US</dc:language>
</cp:coreProperties>
</file>