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/>
  </bookViews>
  <sheets>
    <sheet name="Purchase Invoice Data" sheetId="1" r:id="rId1"/>
  </sheets>
  <calcPr calcId="152511" iterateDelta="1E-4"/>
</workbook>
</file>

<file path=xl/calcChain.xml><?xml version="1.0" encoding="utf-8"?>
<calcChain xmlns="http://schemas.openxmlformats.org/spreadsheetml/2006/main">
  <c r="P18" i="1" l="1"/>
  <c r="O18" i="1"/>
  <c r="G18" i="1"/>
  <c r="L17" i="1"/>
  <c r="M17" i="1" s="1"/>
  <c r="M16" i="1"/>
  <c r="L16" i="1"/>
  <c r="L15" i="1"/>
  <c r="M15" i="1" s="1"/>
  <c r="M14" i="1"/>
  <c r="L14" i="1"/>
  <c r="L13" i="1"/>
  <c r="M13" i="1" s="1"/>
  <c r="M12" i="1"/>
  <c r="L12" i="1"/>
  <c r="L11" i="1"/>
  <c r="M11" i="1" s="1"/>
  <c r="M10" i="1"/>
  <c r="L10" i="1"/>
  <c r="L9" i="1"/>
  <c r="M9" i="1" s="1"/>
  <c r="M8" i="1"/>
  <c r="L8" i="1"/>
  <c r="L7" i="1"/>
  <c r="M7" i="1" s="1"/>
  <c r="M6" i="1"/>
  <c r="L6" i="1"/>
  <c r="L5" i="1"/>
  <c r="M5" i="1" s="1"/>
  <c r="M4" i="1"/>
  <c r="L4" i="1"/>
  <c r="L3" i="1"/>
  <c r="M3" i="1" s="1"/>
  <c r="Q9" i="1" l="1"/>
  <c r="N9" i="1"/>
  <c r="Q14" i="1"/>
  <c r="N5" i="1"/>
  <c r="Q5" i="1" s="1"/>
  <c r="Q10" i="1"/>
  <c r="Q15" i="1"/>
  <c r="N15" i="1"/>
  <c r="N11" i="1"/>
  <c r="Q11" i="1" s="1"/>
  <c r="N7" i="1"/>
  <c r="Q7" i="1" s="1"/>
  <c r="Q13" i="1"/>
  <c r="N13" i="1"/>
  <c r="N17" i="1"/>
  <c r="Q17" i="1" s="1"/>
  <c r="M18" i="1"/>
  <c r="N3" i="1"/>
  <c r="Q8" i="1"/>
  <c r="N4" i="1"/>
  <c r="Q4" i="1" s="1"/>
  <c r="N8" i="1"/>
  <c r="N10" i="1"/>
  <c r="N14" i="1"/>
  <c r="N16" i="1"/>
  <c r="Q16" i="1" s="1"/>
  <c r="N6" i="1"/>
  <c r="Q6" i="1" s="1"/>
  <c r="N12" i="1"/>
  <c r="Q12" i="1" s="1"/>
  <c r="N18" i="1" l="1"/>
  <c r="Q3" i="1"/>
  <c r="Q18" i="1" s="1"/>
</calcChain>
</file>

<file path=xl/sharedStrings.xml><?xml version="1.0" encoding="utf-8"?>
<sst xmlns="http://schemas.openxmlformats.org/spreadsheetml/2006/main" count="100" uniqueCount="44">
  <si>
    <t>Sl No</t>
  </si>
  <si>
    <t>Code</t>
  </si>
  <si>
    <t>Name</t>
  </si>
  <si>
    <t>HSN</t>
  </si>
  <si>
    <t>GST Slab</t>
  </si>
  <si>
    <t>UOM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</si>
  <si>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</si>
  <si>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</si>
  <si>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</si>
  <si>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</si>
  <si>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</si>
  <si>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</si>
  <si>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</si>
  <si>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</si>
  <si>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</si>
  <si>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</si>
  <si>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</si>
  <si>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</si>
  <si>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</si>
  <si>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%</t>
  </si>
  <si>
    <t>R.Off</t>
  </si>
  <si>
    <t>IGST</t>
  </si>
  <si>
    <t>CGST</t>
  </si>
  <si>
    <t>SGST</t>
  </si>
  <si>
    <t>8A2279</t>
  </si>
  <si>
    <t>15-MIX SAREE</t>
  </si>
  <si>
    <t>50072010</t>
  </si>
  <si>
    <t>GST 5 %</t>
  </si>
  <si>
    <t>Pc(s)</t>
  </si>
  <si>
    <t>8A2280</t>
  </si>
  <si>
    <t>8A2281</t>
  </si>
  <si>
    <t>8A2282</t>
  </si>
  <si>
    <t>8A2283</t>
  </si>
  <si>
    <t>8A2284</t>
  </si>
  <si>
    <t>8A2285</t>
  </si>
  <si>
    <t>8A2286</t>
  </si>
  <si>
    <t>8A2287</t>
  </si>
  <si>
    <t>8A2288</t>
  </si>
  <si>
    <t>8A2289</t>
  </si>
  <si>
    <t>8A2290</t>
  </si>
  <si>
    <t>8A2291</t>
  </si>
  <si>
    <t>8A2292</t>
  </si>
  <si>
    <t>8A2293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</si>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</sst>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4F8"/>
        <bgColor rgb="FFF2F4F8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right" vertical="center"/>
    </xf>
    <xf numFmtId="4" fontId="2" fillId="3" borderId="5" xfId="0" applyNumberFormat="1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49" fontId="2" fillId="4" borderId="5" xfId="0" applyNumberFormat="1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right" vertical="center"/>
    </xf>
    <xf numFmtId="4" fontId="2" fillId="4" borderId="5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2" fontId="3" fillId="5" borderId="6" xfId="0" applyNumberFormat="1" applyFont="1" applyFill="1" applyBorder="1" applyAlignment="1">
      <alignment horizontal="right" vertical="center"/>
    </xf>
    <xf numFmtId="0" fontId="3" fillId="5" borderId="6" xfId="0" applyFont="1" applyFill="1" applyBorder="1"/>
    <xf numFmtId="4" fontId="3" fillId="5" borderId="6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3" fillId="5" borderId="6" xfId="0" applyFont="1" applyFill="1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tabSelected="1" workbookViewId="0">
      <selection activeCell="V18" sqref="V18"/>
    </sheetView>
  </sheetViews>
  <sheetFormatPr defaultRowHeight="14.4" x14ac:dyDescent="0.3"/>
  <cols>
    <col min="1" max="2" width="11" customWidth="1"/>
    <col min="3" max="3" width="16" customWidth="1"/>
    <col min="4" max="5" width="12" customWidth="1"/>
    <col min="6" max="6" width="11" customWidth="1"/>
    <col min="7" max="8" width="15" customWidth="1"/>
    <col min="9" max="9" width="17" customWidth="1"/>
    <col min="10" max="10" width="12" customWidth="1"/>
    <col min="11" max="11" width="11" customWidth="1"/>
    <col min="12" max="12" width="17" customWidth="1"/>
    <col min="13" max="13" width="20" customWidth="1"/>
    <col min="14" max="14" width="22" customWidth="1"/>
    <col min="15" max="16" width="15" customWidth="1"/>
    <col min="17" max="17" width="16" customWidth="1"/>
    <col min="18" max="22" width="11" customWidth="1"/>
  </cols>
  <sheetData>
    <row r="1" spans="1:22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/>
      <c r="L1" s="15" t="s">
        <v>10</v>
      </c>
      <c r="M1" s="15" t="s">
        <v>11</v>
      </c>
      <c r="N1" s="15" t="s">
        <v>12</v>
      </c>
      <c r="O1" s="18"/>
      <c r="P1" s="16"/>
      <c r="Q1" s="15" t="s">
        <v>13</v>
      </c>
      <c r="R1" s="15" t="s">
        <v>14</v>
      </c>
      <c r="S1" s="15" t="s">
        <v>15</v>
      </c>
      <c r="T1" s="15" t="s">
        <v>16</v>
      </c>
      <c r="U1" s="15" t="s">
        <v>17</v>
      </c>
      <c r="V1" s="15" t="s">
        <v>18</v>
      </c>
    </row>
    <row r="2" spans="1:22" x14ac:dyDescent="0.3">
      <c r="A2" s="17"/>
      <c r="B2" s="17"/>
      <c r="C2" s="17"/>
      <c r="D2" s="17"/>
      <c r="E2" s="17"/>
      <c r="F2" s="17"/>
      <c r="G2" s="17"/>
      <c r="H2" s="17"/>
      <c r="I2" s="17"/>
      <c r="J2" s="11" t="s">
        <v>19</v>
      </c>
      <c r="K2" s="11" t="s">
        <v>20</v>
      </c>
      <c r="L2" s="17"/>
      <c r="M2" s="17"/>
      <c r="N2" s="11" t="s">
        <v>21</v>
      </c>
      <c r="O2" s="11" t="s">
        <v>22</v>
      </c>
      <c r="P2" s="11" t="s">
        <v>23</v>
      </c>
      <c r="Q2" s="17"/>
      <c r="R2" s="17"/>
      <c r="S2" s="17"/>
      <c r="T2" s="17"/>
      <c r="U2" s="17"/>
      <c r="V2" s="17"/>
    </row>
    <row r="3" spans="1:22" x14ac:dyDescent="0.3">
      <c r="A3" s="1">
        <v>1</v>
      </c>
      <c r="B3" s="2" t="s">
        <v>24</v>
      </c>
      <c r="C3" s="2" t="s">
        <v>25</v>
      </c>
      <c r="D3" s="3" t="s">
        <v>26</v>
      </c>
      <c r="E3" s="1" t="s">
        <v>27</v>
      </c>
      <c r="F3" s="1" t="s">
        <v>28</v>
      </c>
      <c r="G3" s="4">
        <v>1</v>
      </c>
      <c r="H3" s="4"/>
      <c r="I3" s="5">
        <v>5300</v>
      </c>
      <c r="J3" s="5">
        <v>0</v>
      </c>
      <c r="K3" s="5">
        <v>0</v>
      </c>
      <c r="L3" s="5">
        <f t="shared" ref="L3:L17" si="0">I3*(1-J3)-K3</f>
        <v>5300</v>
      </c>
      <c r="M3" s="5">
        <f t="shared" ref="M3:M17" si="1">ROUND(G3*L3, 2)</f>
        <v>5300</v>
      </c>
      <c r="N3" s="5">
        <f t="shared" ref="N3:N17" si="2">ROUND(M3*0.05, 2)</f>
        <v>265</v>
      </c>
      <c r="O3" s="5">
        <v>0</v>
      </c>
      <c r="P3" s="5">
        <v>0</v>
      </c>
      <c r="Q3" s="5">
        <f t="shared" ref="Q3:Q17" si="3">M3+N3+O3+P3</f>
        <v>5565</v>
      </c>
      <c r="R3" s="5">
        <v>8980</v>
      </c>
      <c r="S3" s="5">
        <v>6095</v>
      </c>
      <c r="T3" s="5">
        <v>6890</v>
      </c>
      <c r="U3" s="2"/>
      <c r="V3" s="2"/>
    </row>
    <row r="4" spans="1:22" x14ac:dyDescent="0.3">
      <c r="A4" s="6">
        <v>2</v>
      </c>
      <c r="B4" s="7" t="s">
        <v>29</v>
      </c>
      <c r="C4" s="7" t="s">
        <v>25</v>
      </c>
      <c r="D4" s="8" t="s">
        <v>26</v>
      </c>
      <c r="E4" s="6" t="s">
        <v>27</v>
      </c>
      <c r="F4" s="6" t="s">
        <v>28</v>
      </c>
      <c r="G4" s="9">
        <v>1</v>
      </c>
      <c r="H4" s="9"/>
      <c r="I4" s="10">
        <v>5300</v>
      </c>
      <c r="J4" s="10">
        <v>0</v>
      </c>
      <c r="K4" s="10">
        <v>0</v>
      </c>
      <c r="L4" s="10">
        <f t="shared" si="0"/>
        <v>5300</v>
      </c>
      <c r="M4" s="10">
        <f t="shared" si="1"/>
        <v>5300</v>
      </c>
      <c r="N4" s="10">
        <f t="shared" si="2"/>
        <v>265</v>
      </c>
      <c r="O4" s="10">
        <v>0</v>
      </c>
      <c r="P4" s="10">
        <v>0</v>
      </c>
      <c r="Q4" s="10">
        <f t="shared" si="3"/>
        <v>5565</v>
      </c>
      <c r="R4" s="10">
        <v>8980</v>
      </c>
      <c r="S4" s="10">
        <v>6095</v>
      </c>
      <c r="T4" s="10">
        <v>6890</v>
      </c>
      <c r="U4" s="7"/>
      <c r="V4" s="7"/>
    </row>
    <row r="5" spans="1:22" x14ac:dyDescent="0.3">
      <c r="A5" s="1">
        <v>3</v>
      </c>
      <c r="B5" s="2" t="s">
        <v>30</v>
      </c>
      <c r="C5" s="2" t="s">
        <v>25</v>
      </c>
      <c r="D5" s="3" t="s">
        <v>26</v>
      </c>
      <c r="E5" s="1" t="s">
        <v>27</v>
      </c>
      <c r="F5" s="1" t="s">
        <v>28</v>
      </c>
      <c r="G5" s="4">
        <v>1</v>
      </c>
      <c r="H5" s="4"/>
      <c r="I5" s="5">
        <v>5300</v>
      </c>
      <c r="J5" s="5">
        <v>0</v>
      </c>
      <c r="K5" s="5">
        <v>0</v>
      </c>
      <c r="L5" s="5">
        <f t="shared" si="0"/>
        <v>5300</v>
      </c>
      <c r="M5" s="5">
        <f t="shared" si="1"/>
        <v>5300</v>
      </c>
      <c r="N5" s="5">
        <f t="shared" si="2"/>
        <v>265</v>
      </c>
      <c r="O5" s="5">
        <v>0</v>
      </c>
      <c r="P5" s="5">
        <v>0</v>
      </c>
      <c r="Q5" s="5">
        <f t="shared" si="3"/>
        <v>5565</v>
      </c>
      <c r="R5" s="5">
        <v>8980</v>
      </c>
      <c r="S5" s="5">
        <v>6095</v>
      </c>
      <c r="T5" s="5">
        <v>6890</v>
      </c>
      <c r="U5" s="2"/>
      <c r="V5" s="2"/>
    </row>
    <row r="6" spans="1:22" x14ac:dyDescent="0.3">
      <c r="A6" s="6">
        <v>4</v>
      </c>
      <c r="B6" s="7" t="s">
        <v>31</v>
      </c>
      <c r="C6" s="7" t="s">
        <v>25</v>
      </c>
      <c r="D6" s="8" t="s">
        <v>26</v>
      </c>
      <c r="E6" s="6" t="s">
        <v>27</v>
      </c>
      <c r="F6" s="6" t="s">
        <v>28</v>
      </c>
      <c r="G6" s="9">
        <v>1</v>
      </c>
      <c r="H6" s="9"/>
      <c r="I6" s="10">
        <v>5300</v>
      </c>
      <c r="J6" s="10">
        <v>0</v>
      </c>
      <c r="K6" s="10">
        <v>0</v>
      </c>
      <c r="L6" s="10">
        <f t="shared" si="0"/>
        <v>5300</v>
      </c>
      <c r="M6" s="10">
        <f t="shared" si="1"/>
        <v>5300</v>
      </c>
      <c r="N6" s="10">
        <f t="shared" si="2"/>
        <v>265</v>
      </c>
      <c r="O6" s="10">
        <v>0</v>
      </c>
      <c r="P6" s="10">
        <v>0</v>
      </c>
      <c r="Q6" s="10">
        <f t="shared" si="3"/>
        <v>5565</v>
      </c>
      <c r="R6" s="10">
        <v>8980</v>
      </c>
      <c r="S6" s="10">
        <v>6095</v>
      </c>
      <c r="T6" s="10">
        <v>6890</v>
      </c>
      <c r="U6" s="7"/>
      <c r="V6" s="7"/>
    </row>
    <row r="7" spans="1:22" x14ac:dyDescent="0.3">
      <c r="A7" s="1">
        <v>5</v>
      </c>
      <c r="B7" s="2" t="s">
        <v>32</v>
      </c>
      <c r="C7" s="2" t="s">
        <v>25</v>
      </c>
      <c r="D7" s="3" t="s">
        <v>26</v>
      </c>
      <c r="E7" s="1" t="s">
        <v>27</v>
      </c>
      <c r="F7" s="1" t="s">
        <v>28</v>
      </c>
      <c r="G7" s="4">
        <v>1</v>
      </c>
      <c r="H7" s="4"/>
      <c r="I7" s="5">
        <v>5300</v>
      </c>
      <c r="J7" s="5">
        <v>0</v>
      </c>
      <c r="K7" s="5">
        <v>0</v>
      </c>
      <c r="L7" s="5">
        <f t="shared" si="0"/>
        <v>5300</v>
      </c>
      <c r="M7" s="5">
        <f t="shared" si="1"/>
        <v>5300</v>
      </c>
      <c r="N7" s="5">
        <f t="shared" si="2"/>
        <v>265</v>
      </c>
      <c r="O7" s="5">
        <v>0</v>
      </c>
      <c r="P7" s="5">
        <v>0</v>
      </c>
      <c r="Q7" s="5">
        <f t="shared" si="3"/>
        <v>5565</v>
      </c>
      <c r="R7" s="5">
        <v>8980</v>
      </c>
      <c r="S7" s="5">
        <v>6095</v>
      </c>
      <c r="T7" s="5">
        <v>6890</v>
      </c>
      <c r="U7" s="2"/>
      <c r="V7" s="2"/>
    </row>
    <row r="8" spans="1:22" x14ac:dyDescent="0.3">
      <c r="A8" s="6">
        <v>6</v>
      </c>
      <c r="B8" s="7" t="s">
        <v>33</v>
      </c>
      <c r="C8" s="7" t="s">
        <v>25</v>
      </c>
      <c r="D8" s="8" t="s">
        <v>26</v>
      </c>
      <c r="E8" s="6" t="s">
        <v>27</v>
      </c>
      <c r="F8" s="6" t="s">
        <v>28</v>
      </c>
      <c r="G8" s="9">
        <v>1</v>
      </c>
      <c r="H8" s="9"/>
      <c r="I8" s="10">
        <v>5300</v>
      </c>
      <c r="J8" s="10">
        <v>0</v>
      </c>
      <c r="K8" s="10">
        <v>0</v>
      </c>
      <c r="L8" s="10">
        <f t="shared" si="0"/>
        <v>5300</v>
      </c>
      <c r="M8" s="10">
        <f t="shared" si="1"/>
        <v>5300</v>
      </c>
      <c r="N8" s="10">
        <f t="shared" si="2"/>
        <v>265</v>
      </c>
      <c r="O8" s="10">
        <v>0</v>
      </c>
      <c r="P8" s="10">
        <v>0</v>
      </c>
      <c r="Q8" s="10">
        <f t="shared" si="3"/>
        <v>5565</v>
      </c>
      <c r="R8" s="10">
        <v>8980</v>
      </c>
      <c r="S8" s="10">
        <v>6095</v>
      </c>
      <c r="T8" s="10">
        <v>6890</v>
      </c>
      <c r="U8" s="7"/>
      <c r="V8" s="7"/>
    </row>
    <row r="9" spans="1:22" x14ac:dyDescent="0.3">
      <c r="A9" s="1">
        <v>7</v>
      </c>
      <c r="B9" s="2" t="s">
        <v>34</v>
      </c>
      <c r="C9" s="2" t="s">
        <v>25</v>
      </c>
      <c r="D9" s="3" t="s">
        <v>26</v>
      </c>
      <c r="E9" s="1" t="s">
        <v>27</v>
      </c>
      <c r="F9" s="1" t="s">
        <v>28</v>
      </c>
      <c r="G9" s="4">
        <v>1</v>
      </c>
      <c r="H9" s="4"/>
      <c r="I9" s="5">
        <v>5300</v>
      </c>
      <c r="J9" s="5">
        <v>0</v>
      </c>
      <c r="K9" s="5">
        <v>0</v>
      </c>
      <c r="L9" s="5">
        <f t="shared" si="0"/>
        <v>5300</v>
      </c>
      <c r="M9" s="5">
        <f t="shared" si="1"/>
        <v>5300</v>
      </c>
      <c r="N9" s="5">
        <f t="shared" si="2"/>
        <v>265</v>
      </c>
      <c r="O9" s="5">
        <v>0</v>
      </c>
      <c r="P9" s="5">
        <v>0</v>
      </c>
      <c r="Q9" s="5">
        <f t="shared" si="3"/>
        <v>5565</v>
      </c>
      <c r="R9" s="5">
        <v>8980</v>
      </c>
      <c r="S9" s="5">
        <v>6095</v>
      </c>
      <c r="T9" s="5">
        <v>6890</v>
      </c>
      <c r="U9" s="2"/>
      <c r="V9" s="2"/>
    </row>
    <row r="10" spans="1:22" x14ac:dyDescent="0.3">
      <c r="A10" s="6">
        <v>8</v>
      </c>
      <c r="B10" s="7" t="s">
        <v>35</v>
      </c>
      <c r="C10" s="7" t="s">
        <v>25</v>
      </c>
      <c r="D10" s="8" t="s">
        <v>26</v>
      </c>
      <c r="E10" s="6" t="s">
        <v>27</v>
      </c>
      <c r="F10" s="6" t="s">
        <v>28</v>
      </c>
      <c r="G10" s="9">
        <v>1</v>
      </c>
      <c r="H10" s="9"/>
      <c r="I10" s="10">
        <v>5300</v>
      </c>
      <c r="J10" s="10">
        <v>0</v>
      </c>
      <c r="K10" s="10">
        <v>0</v>
      </c>
      <c r="L10" s="10">
        <f t="shared" si="0"/>
        <v>5300</v>
      </c>
      <c r="M10" s="10">
        <f t="shared" si="1"/>
        <v>5300</v>
      </c>
      <c r="N10" s="10">
        <f t="shared" si="2"/>
        <v>265</v>
      </c>
      <c r="O10" s="10">
        <v>0</v>
      </c>
      <c r="P10" s="10">
        <v>0</v>
      </c>
      <c r="Q10" s="10">
        <f t="shared" si="3"/>
        <v>5565</v>
      </c>
      <c r="R10" s="10">
        <v>8980</v>
      </c>
      <c r="S10" s="10">
        <v>6095</v>
      </c>
      <c r="T10" s="10">
        <v>6890</v>
      </c>
      <c r="U10" s="7"/>
      <c r="V10" s="7"/>
    </row>
    <row r="11" spans="1:22" x14ac:dyDescent="0.3">
      <c r="A11" s="1">
        <v>9</v>
      </c>
      <c r="B11" s="2" t="s">
        <v>36</v>
      </c>
      <c r="C11" s="2" t="s">
        <v>25</v>
      </c>
      <c r="D11" s="3" t="s">
        <v>26</v>
      </c>
      <c r="E11" s="1" t="s">
        <v>27</v>
      </c>
      <c r="F11" s="1" t="s">
        <v>28</v>
      </c>
      <c r="G11" s="4">
        <v>1</v>
      </c>
      <c r="H11" s="4"/>
      <c r="I11" s="5">
        <v>5300</v>
      </c>
      <c r="J11" s="5">
        <v>0</v>
      </c>
      <c r="K11" s="5">
        <v>0</v>
      </c>
      <c r="L11" s="5">
        <f t="shared" si="0"/>
        <v>5300</v>
      </c>
      <c r="M11" s="5">
        <f t="shared" si="1"/>
        <v>5300</v>
      </c>
      <c r="N11" s="5">
        <f t="shared" si="2"/>
        <v>265</v>
      </c>
      <c r="O11" s="5">
        <v>0</v>
      </c>
      <c r="P11" s="5">
        <v>0</v>
      </c>
      <c r="Q11" s="5">
        <f t="shared" si="3"/>
        <v>5565</v>
      </c>
      <c r="R11" s="5">
        <v>8980</v>
      </c>
      <c r="S11" s="5">
        <v>6095</v>
      </c>
      <c r="T11" s="5">
        <v>6890</v>
      </c>
      <c r="U11" s="2"/>
      <c r="V11" s="2"/>
    </row>
    <row r="12" spans="1:22" x14ac:dyDescent="0.3">
      <c r="A12" s="6">
        <v>10</v>
      </c>
      <c r="B12" s="7" t="s">
        <v>37</v>
      </c>
      <c r="C12" s="7" t="s">
        <v>25</v>
      </c>
      <c r="D12" s="8" t="s">
        <v>26</v>
      </c>
      <c r="E12" s="6" t="s">
        <v>27</v>
      </c>
      <c r="F12" s="6" t="s">
        <v>28</v>
      </c>
      <c r="G12" s="9">
        <v>1</v>
      </c>
      <c r="H12" s="9"/>
      <c r="I12" s="10">
        <v>5300</v>
      </c>
      <c r="J12" s="10">
        <v>0</v>
      </c>
      <c r="K12" s="10">
        <v>0</v>
      </c>
      <c r="L12" s="10">
        <f t="shared" si="0"/>
        <v>5300</v>
      </c>
      <c r="M12" s="10">
        <f t="shared" si="1"/>
        <v>5300</v>
      </c>
      <c r="N12" s="10">
        <f t="shared" si="2"/>
        <v>265</v>
      </c>
      <c r="O12" s="10">
        <v>0</v>
      </c>
      <c r="P12" s="10">
        <v>0</v>
      </c>
      <c r="Q12" s="10">
        <f t="shared" si="3"/>
        <v>5565</v>
      </c>
      <c r="R12" s="10">
        <v>8980</v>
      </c>
      <c r="S12" s="10">
        <v>6095</v>
      </c>
      <c r="T12" s="10">
        <v>6890</v>
      </c>
      <c r="U12" s="7"/>
      <c r="V12" s="7"/>
    </row>
    <row r="13" spans="1:22" x14ac:dyDescent="0.3">
      <c r="A13" s="1">
        <v>11</v>
      </c>
      <c r="B13" s="2" t="s">
        <v>38</v>
      </c>
      <c r="C13" s="2" t="s">
        <v>25</v>
      </c>
      <c r="D13" s="3" t="s">
        <v>26</v>
      </c>
      <c r="E13" s="1" t="s">
        <v>27</v>
      </c>
      <c r="F13" s="1" t="s">
        <v>28</v>
      </c>
      <c r="G13" s="4">
        <v>1</v>
      </c>
      <c r="H13" s="4"/>
      <c r="I13" s="5">
        <v>5300</v>
      </c>
      <c r="J13" s="5">
        <v>0</v>
      </c>
      <c r="K13" s="5">
        <v>0</v>
      </c>
      <c r="L13" s="5">
        <f t="shared" si="0"/>
        <v>5300</v>
      </c>
      <c r="M13" s="5">
        <f t="shared" si="1"/>
        <v>5300</v>
      </c>
      <c r="N13" s="5">
        <f t="shared" si="2"/>
        <v>265</v>
      </c>
      <c r="O13" s="5">
        <v>0</v>
      </c>
      <c r="P13" s="5">
        <v>0</v>
      </c>
      <c r="Q13" s="5">
        <f t="shared" si="3"/>
        <v>5565</v>
      </c>
      <c r="R13" s="5">
        <v>8980</v>
      </c>
      <c r="S13" s="5">
        <v>6095</v>
      </c>
      <c r="T13" s="5">
        <v>6890</v>
      </c>
      <c r="U13" s="2"/>
      <c r="V13" s="2"/>
    </row>
    <row r="14" spans="1:22" x14ac:dyDescent="0.3">
      <c r="A14" s="6">
        <v>12</v>
      </c>
      <c r="B14" s="7" t="s">
        <v>39</v>
      </c>
      <c r="C14" s="7" t="s">
        <v>25</v>
      </c>
      <c r="D14" s="8" t="s">
        <v>26</v>
      </c>
      <c r="E14" s="6" t="s">
        <v>27</v>
      </c>
      <c r="F14" s="6" t="s">
        <v>28</v>
      </c>
      <c r="G14" s="9">
        <v>1</v>
      </c>
      <c r="H14" s="9"/>
      <c r="I14" s="10">
        <v>5300</v>
      </c>
      <c r="J14" s="10">
        <v>0</v>
      </c>
      <c r="K14" s="10">
        <v>0</v>
      </c>
      <c r="L14" s="10">
        <f t="shared" si="0"/>
        <v>5300</v>
      </c>
      <c r="M14" s="10">
        <f t="shared" si="1"/>
        <v>5300</v>
      </c>
      <c r="N14" s="10">
        <f t="shared" si="2"/>
        <v>265</v>
      </c>
      <c r="O14" s="10">
        <v>0</v>
      </c>
      <c r="P14" s="10">
        <v>0</v>
      </c>
      <c r="Q14" s="10">
        <f t="shared" si="3"/>
        <v>5565</v>
      </c>
      <c r="R14" s="10">
        <v>8980</v>
      </c>
      <c r="S14" s="10">
        <v>6095</v>
      </c>
      <c r="T14" s="10">
        <v>6890</v>
      </c>
      <c r="U14" s="7"/>
      <c r="V14" s="7"/>
    </row>
    <row r="15" spans="1:22" x14ac:dyDescent="0.3">
      <c r="A15" s="1">
        <v>13</v>
      </c>
      <c r="B15" s="2" t="s">
        <v>40</v>
      </c>
      <c r="C15" s="2" t="s">
        <v>25</v>
      </c>
      <c r="D15" s="3" t="s">
        <v>26</v>
      </c>
      <c r="E15" s="1" t="s">
        <v>27</v>
      </c>
      <c r="F15" s="1" t="s">
        <v>28</v>
      </c>
      <c r="G15" s="4">
        <v>1</v>
      </c>
      <c r="H15" s="4"/>
      <c r="I15" s="5">
        <v>5300</v>
      </c>
      <c r="J15" s="5">
        <v>0</v>
      </c>
      <c r="K15" s="5">
        <v>0</v>
      </c>
      <c r="L15" s="5">
        <f t="shared" si="0"/>
        <v>5300</v>
      </c>
      <c r="M15" s="5">
        <f t="shared" si="1"/>
        <v>5300</v>
      </c>
      <c r="N15" s="5">
        <f t="shared" si="2"/>
        <v>265</v>
      </c>
      <c r="O15" s="5">
        <v>0</v>
      </c>
      <c r="P15" s="5">
        <v>0</v>
      </c>
      <c r="Q15" s="5">
        <f t="shared" si="3"/>
        <v>5565</v>
      </c>
      <c r="R15" s="5">
        <v>8980</v>
      </c>
      <c r="S15" s="5">
        <v>6095</v>
      </c>
      <c r="T15" s="5">
        <v>6890</v>
      </c>
      <c r="U15" s="2"/>
      <c r="V15" s="2"/>
    </row>
    <row r="16" spans="1:22" x14ac:dyDescent="0.3">
      <c r="A16" s="6">
        <v>14</v>
      </c>
      <c r="B16" s="7" t="s">
        <v>41</v>
      </c>
      <c r="C16" s="7" t="s">
        <v>25</v>
      </c>
      <c r="D16" s="8" t="s">
        <v>26</v>
      </c>
      <c r="E16" s="6" t="s">
        <v>27</v>
      </c>
      <c r="F16" s="6" t="s">
        <v>28</v>
      </c>
      <c r="G16" s="9">
        <v>1</v>
      </c>
      <c r="H16" s="9"/>
      <c r="I16" s="10">
        <v>5300</v>
      </c>
      <c r="J16" s="10">
        <v>0</v>
      </c>
      <c r="K16" s="10">
        <v>0</v>
      </c>
      <c r="L16" s="10">
        <f t="shared" si="0"/>
        <v>5300</v>
      </c>
      <c r="M16" s="10">
        <f t="shared" si="1"/>
        <v>5300</v>
      </c>
      <c r="N16" s="10">
        <f t="shared" si="2"/>
        <v>265</v>
      </c>
      <c r="O16" s="10">
        <v>0</v>
      </c>
      <c r="P16" s="10">
        <v>0</v>
      </c>
      <c r="Q16" s="10">
        <f t="shared" si="3"/>
        <v>5565</v>
      </c>
      <c r="R16" s="10">
        <v>8980</v>
      </c>
      <c r="S16" s="10">
        <v>6095</v>
      </c>
      <c r="T16" s="10">
        <v>6890</v>
      </c>
      <c r="U16" s="7"/>
      <c r="V16" s="7"/>
    </row>
    <row r="17" spans="1:22" x14ac:dyDescent="0.3">
      <c r="A17" s="1">
        <v>15</v>
      </c>
      <c r="B17" s="2" t="s">
        <v>42</v>
      </c>
      <c r="C17" s="2" t="s">
        <v>25</v>
      </c>
      <c r="D17" s="3" t="s">
        <v>26</v>
      </c>
      <c r="E17" s="1" t="s">
        <v>27</v>
      </c>
      <c r="F17" s="1" t="s">
        <v>28</v>
      </c>
      <c r="G17" s="4">
        <v>1</v>
      </c>
      <c r="H17" s="4"/>
      <c r="I17" s="5">
        <v>5300</v>
      </c>
      <c r="J17" s="5">
        <v>0</v>
      </c>
      <c r="K17" s="5">
        <v>0</v>
      </c>
      <c r="L17" s="5">
        <f t="shared" si="0"/>
        <v>5300</v>
      </c>
      <c r="M17" s="5">
        <f t="shared" si="1"/>
        <v>5300</v>
      </c>
      <c r="N17" s="5">
        <f t="shared" si="2"/>
        <v>265</v>
      </c>
      <c r="O17" s="5">
        <v>0</v>
      </c>
      <c r="P17" s="5">
        <v>0</v>
      </c>
      <c r="Q17" s="5">
        <f t="shared" si="3"/>
        <v>5565</v>
      </c>
      <c r="R17" s="5">
        <v>8980</v>
      </c>
      <c r="S17" s="5">
        <v>6095</v>
      </c>
      <c r="T17" s="5">
        <v>6890</v>
      </c>
      <c r="U17" s="2"/>
      <c r="V17" s="2"/>
    </row>
    <row r="18" spans="1:22" x14ac:dyDescent="0.3">
      <c r="A18" s="19" t="s">
        <v>43</v>
      </c>
      <c r="B18" s="20"/>
      <c r="C18" s="20"/>
      <c r="D18" s="20"/>
      <c r="E18" s="20"/>
      <c r="F18" s="20"/>
      <c r="G18" s="12">
        <f>SUM(G3:G17)</f>
        <v>15</v>
      </c>
      <c r="H18" s="13"/>
      <c r="I18" s="13"/>
      <c r="J18" s="13"/>
      <c r="K18" s="13"/>
      <c r="L18" s="13"/>
      <c r="M18" s="14">
        <f>SUM(M3:M17)</f>
        <v>79500</v>
      </c>
      <c r="N18" s="14">
        <f>SUM(N3:N17)</f>
        <v>3975</v>
      </c>
      <c r="O18" s="14">
        <f>SUM(O3:O17)</f>
        <v>0</v>
      </c>
      <c r="P18" s="14">
        <f>SUM(P3:P17)</f>
        <v>0</v>
      </c>
      <c r="Q18" s="14">
        <f>SUM(Q3:Q17)</f>
        <v>83475</v>
      </c>
      <c r="R18" s="13"/>
      <c r="S18" s="13"/>
      <c r="T18" s="13"/>
      <c r="U18" s="13"/>
      <c r="V18" s="13"/>
    </row>
  </sheetData>
  <mergeCells count="20">
    <mergeCell ref="D1:D2"/>
    <mergeCell ref="F1:F2"/>
    <mergeCell ref="H1:H2"/>
    <mergeCell ref="R1:R2"/>
    <mergeCell ref="J1:K1"/>
    <mergeCell ref="C1:C2"/>
    <mergeCell ref="N1:P1"/>
    <mergeCell ref="A18:F18"/>
    <mergeCell ref="V1:V2"/>
    <mergeCell ref="E1:E2"/>
    <mergeCell ref="M1:M2"/>
    <mergeCell ref="Q1:Q2"/>
    <mergeCell ref="B1:B2"/>
    <mergeCell ref="L1:L2"/>
    <mergeCell ref="T1:T2"/>
    <mergeCell ref="G1:G2"/>
    <mergeCell ref="I1:I2"/>
    <mergeCell ref="A1:A2"/>
    <mergeCell ref="S1:S2"/>
    <mergeCell ref="U1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2026-09-05T05:02:01Z</dcterms:created>
  <dcterms:modified xsi:type="dcterms:W3CDTF">2026-09-11T08:46:48Z</dcterms:modified>
</cp:coreProperties>
</file>