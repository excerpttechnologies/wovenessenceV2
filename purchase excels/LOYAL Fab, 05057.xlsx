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9" authorId="0">
      <text>
        <r>
          <rPr>
            <sz val="10"/>
            <rFont val="Arial"/>
            <family val="2"/>
          </rPr>
          <t xml:space="preserve">GST @ 5% (IGST)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<sst xmlns="http://schemas.openxmlformats.org/spreadsheetml/2006/main" count="93" uniqueCount="45">
  <si>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</si>
  <si>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</si>
  <si>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</si>
  <si>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</si>
  <si>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</si>
  <si>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</si>
  <si>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</si>
  <si>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</si>
  <si>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</si>
  <si>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</si>
  <si>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</si>
  <si>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</si>
  <si>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</si>
  <si>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</si>
  <si>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</si>
  <si>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</si>
  <si>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</si>
  <si>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</si>
  <si>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</si>
  <si>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</si>
  <si>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</si>
  <si>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</si>
  <si>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</si>
  <si>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8A1000</t>
  </si>
  <si>
    <t xml:space="preserve">SRB</t>
  </si>
  <si>
    <t xml:space="preserve">521039</t>
  </si>
  <si>
    <t xml:space="preserve">GST 5 %</t>
  </si>
  <si>
    <t xml:space="preserve">Pc(s)</t>
  </si>
  <si>
    <t xml:space="preserve">8A1001</t>
  </si>
  <si>
    <t xml:space="preserve">8A1002</t>
  </si>
  <si>
    <t xml:space="preserve">8A1003</t>
  </si>
  <si>
    <t xml:space="preserve">8A1004</t>
  </si>
  <si>
    <t xml:space="preserve">8A1005</t>
  </si>
  <si>
    <t xml:space="preserve">8A1006</t>
  </si>
  <si>
    <t xml:space="preserve">8A1007</t>
  </si>
  <si>
    <t xml:space="preserve">8A1008</t>
  </si>
  <si>
    <t xml:space="preserve">8A1009</t>
  </si>
  <si>
    <t xml:space="preserve">8A1010</t>
  </si>
  <si>
    <t xml:space="preserve">8A1011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</si>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</sst>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₹#,##0.00"/>
    <numFmt numFmtId="167" formatCode="0.00%"/>
    <numFmt numFmtId="168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9"/>
      </patternFill>
    </fill>
    <fill>
      <patternFill patternType="solid">
        <fgColor rgb="FF366092"/>
        <bgColor rgb="FF1F4E79"/>
      </patternFill>
    </fill>
    <fill>
      <patternFill patternType="solid">
        <fgColor rgb="FFF9FAFB"/>
        <bgColor rgb="FFFFFFFF"/>
      </patternFill>
    </fill>
    <fill>
      <patternFill patternType="solid">
        <fgColor rgb="FFFFFFFF"/>
        <bgColor rgb="FFF9FAFB"/>
      </patternFill>
    </fill>
    <fill>
      <patternFill patternType="solid">
        <fgColor rgb="FFE9EEF4"/>
        <bgColor rgb="FFF9FAFB"/>
      </patternFill>
    </fill>
    <fill>
      <patternFill patternType="solid">
        <fgColor rgb="FFD9E1F2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1F4E79"/>
      </top>
      <bottom style="double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E9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4" min="13" style="0" width="16"/>
    <col collapsed="false" customWidth="true" hidden="false" outlineLevel="0" max="16" min="15" style="0" width="12"/>
    <col collapsed="false" customWidth="true" hidden="false" outlineLevel="0" max="17" min="17" style="0" width="20"/>
    <col collapsed="false" customWidth="true" hidden="false" outlineLevel="0" max="20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</row>
    <row r="2" customFormat="false" ht="19.5" hidden="false" customHeight="true" outlineLevel="0" collapsed="false">
      <c r="A2" s="1"/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1"/>
      <c r="H2" s="1"/>
      <c r="I2" s="1"/>
      <c r="J2" s="1" t="s">
        <v>18</v>
      </c>
      <c r="K2" s="1" t="s">
        <v>19</v>
      </c>
      <c r="L2" s="1"/>
      <c r="M2" s="1"/>
      <c r="N2" s="1" t="s">
        <v>20</v>
      </c>
      <c r="O2" s="1" t="s">
        <v>21</v>
      </c>
      <c r="P2" s="1" t="s">
        <v>22</v>
      </c>
      <c r="Q2" s="1"/>
      <c r="R2" s="1"/>
      <c r="S2" s="1"/>
      <c r="T2" s="1"/>
    </row>
    <row r="3" customFormat="false" ht="19.5" hidden="false" customHeight="true" outlineLevel="0" collapsed="false">
      <c r="A3" s="3" t="n">
        <v>1</v>
      </c>
      <c r="B3" s="3" t="s">
        <v>23</v>
      </c>
      <c r="C3" s="4" t="s">
        <v>24</v>
      </c>
      <c r="D3" s="3" t="s">
        <v>25</v>
      </c>
      <c r="E3" s="3" t="s">
        <v>26</v>
      </c>
      <c r="F3" s="3" t="s">
        <v>27</v>
      </c>
      <c r="G3" s="5" t="n">
        <v>23</v>
      </c>
      <c r="H3" s="3"/>
      <c r="I3" s="6" t="n">
        <v>128.89</v>
      </c>
      <c r="J3" s="7" t="n">
        <v>0</v>
      </c>
      <c r="K3" s="6" t="n">
        <v>0</v>
      </c>
      <c r="L3" s="6" t="n">
        <f aca="false">I3*(1-J3)-K3</f>
        <v>128.89</v>
      </c>
      <c r="M3" s="6" t="n">
        <f aca="false">G3*L3</f>
        <v>2964.47</v>
      </c>
      <c r="N3" s="6" t="n">
        <v>148.22</v>
      </c>
      <c r="O3" s="6" t="n">
        <v>0</v>
      </c>
      <c r="P3" s="6" t="n">
        <v>0</v>
      </c>
      <c r="Q3" s="6" t="n">
        <f aca="false">M3+N3+O3+P3</f>
        <v>3112.69</v>
      </c>
      <c r="R3" s="6" t="n">
        <v>260</v>
      </c>
      <c r="S3" s="6" t="n">
        <v>148.22</v>
      </c>
      <c r="T3" s="6" t="n">
        <v>167.56</v>
      </c>
    </row>
    <row r="4" customFormat="false" ht="19.5" hidden="false" customHeight="true" outlineLevel="0" collapsed="false">
      <c r="A4" s="8" t="n">
        <v>2</v>
      </c>
      <c r="B4" s="8" t="s">
        <v>28</v>
      </c>
      <c r="C4" s="9" t="s">
        <v>24</v>
      </c>
      <c r="D4" s="8" t="s">
        <v>25</v>
      </c>
      <c r="E4" s="8" t="s">
        <v>26</v>
      </c>
      <c r="F4" s="8" t="s">
        <v>27</v>
      </c>
      <c r="G4" s="10" t="n">
        <v>23</v>
      </c>
      <c r="H4" s="8"/>
      <c r="I4" s="11" t="n">
        <v>128.89</v>
      </c>
      <c r="J4" s="12" t="n">
        <v>0</v>
      </c>
      <c r="K4" s="11" t="n">
        <v>0</v>
      </c>
      <c r="L4" s="11" t="n">
        <f aca="false">I4*(1-J4)-K4</f>
        <v>128.89</v>
      </c>
      <c r="M4" s="11" t="n">
        <f aca="false">G4*L4</f>
        <v>2964.47</v>
      </c>
      <c r="N4" s="11" t="n">
        <v>148.22</v>
      </c>
      <c r="O4" s="11" t="n">
        <v>0</v>
      </c>
      <c r="P4" s="11" t="n">
        <v>0</v>
      </c>
      <c r="Q4" s="11" t="n">
        <f aca="false">M4+N4+O4+P4</f>
        <v>3112.69</v>
      </c>
      <c r="R4" s="11" t="n">
        <v>260</v>
      </c>
      <c r="S4" s="11" t="n">
        <v>148.22</v>
      </c>
      <c r="T4" s="11" t="n">
        <v>167.56</v>
      </c>
    </row>
    <row r="5" customFormat="false" ht="19.5" hidden="false" customHeight="true" outlineLevel="0" collapsed="false">
      <c r="A5" s="3" t="n">
        <v>3</v>
      </c>
      <c r="B5" s="3" t="s">
        <v>29</v>
      </c>
      <c r="C5" s="4" t="s">
        <v>24</v>
      </c>
      <c r="D5" s="3" t="s">
        <v>25</v>
      </c>
      <c r="E5" s="3" t="s">
        <v>26</v>
      </c>
      <c r="F5" s="3" t="s">
        <v>27</v>
      </c>
      <c r="G5" s="5" t="n">
        <v>22</v>
      </c>
      <c r="H5" s="3"/>
      <c r="I5" s="6" t="n">
        <v>128.89</v>
      </c>
      <c r="J5" s="7" t="n">
        <v>0</v>
      </c>
      <c r="K5" s="6" t="n">
        <v>0</v>
      </c>
      <c r="L5" s="6" t="n">
        <f aca="false">I5*(1-J5)-K5</f>
        <v>128.89</v>
      </c>
      <c r="M5" s="6" t="n">
        <f aca="false">G5*L5</f>
        <v>2835.58</v>
      </c>
      <c r="N5" s="6" t="n">
        <v>141.78</v>
      </c>
      <c r="O5" s="6" t="n">
        <v>0</v>
      </c>
      <c r="P5" s="6" t="n">
        <v>0</v>
      </c>
      <c r="Q5" s="6" t="n">
        <f aca="false">M5+N5+O5+P5</f>
        <v>2977.36</v>
      </c>
      <c r="R5" s="6" t="n">
        <v>260</v>
      </c>
      <c r="S5" s="6" t="n">
        <v>148.22</v>
      </c>
      <c r="T5" s="6" t="n">
        <v>167.56</v>
      </c>
    </row>
    <row r="6" customFormat="false" ht="19.5" hidden="false" customHeight="true" outlineLevel="0" collapsed="false">
      <c r="A6" s="8" t="n">
        <v>4</v>
      </c>
      <c r="B6" s="8" t="s">
        <v>30</v>
      </c>
      <c r="C6" s="9" t="s">
        <v>24</v>
      </c>
      <c r="D6" s="8" t="s">
        <v>25</v>
      </c>
      <c r="E6" s="8" t="s">
        <v>26</v>
      </c>
      <c r="F6" s="8" t="s">
        <v>27</v>
      </c>
      <c r="G6" s="10" t="n">
        <v>22</v>
      </c>
      <c r="H6" s="8"/>
      <c r="I6" s="11" t="n">
        <v>128.89</v>
      </c>
      <c r="J6" s="12" t="n">
        <v>0</v>
      </c>
      <c r="K6" s="11" t="n">
        <v>0</v>
      </c>
      <c r="L6" s="11" t="n">
        <f aca="false">I6*(1-J6)-K6</f>
        <v>128.89</v>
      </c>
      <c r="M6" s="11" t="n">
        <f aca="false">G6*L6</f>
        <v>2835.58</v>
      </c>
      <c r="N6" s="11" t="n">
        <v>141.78</v>
      </c>
      <c r="O6" s="11" t="n">
        <v>0</v>
      </c>
      <c r="P6" s="11" t="n">
        <v>0</v>
      </c>
      <c r="Q6" s="11" t="n">
        <f aca="false">M6+N6+O6+P6</f>
        <v>2977.36</v>
      </c>
      <c r="R6" s="11" t="n">
        <v>260</v>
      </c>
      <c r="S6" s="11" t="n">
        <v>148.22</v>
      </c>
      <c r="T6" s="11" t="n">
        <v>167.56</v>
      </c>
    </row>
    <row r="7" customFormat="false" ht="19.5" hidden="false" customHeight="true" outlineLevel="0" collapsed="false">
      <c r="A7" s="3" t="n">
        <v>5</v>
      </c>
      <c r="B7" s="3" t="s">
        <v>31</v>
      </c>
      <c r="C7" s="4" t="s">
        <v>24</v>
      </c>
      <c r="D7" s="3" t="s">
        <v>25</v>
      </c>
      <c r="E7" s="3" t="s">
        <v>26</v>
      </c>
      <c r="F7" s="3" t="s">
        <v>27</v>
      </c>
      <c r="G7" s="5" t="n">
        <v>21</v>
      </c>
      <c r="H7" s="3"/>
      <c r="I7" s="6" t="n">
        <v>128.89</v>
      </c>
      <c r="J7" s="7" t="n">
        <v>0</v>
      </c>
      <c r="K7" s="6" t="n">
        <v>0</v>
      </c>
      <c r="L7" s="6" t="n">
        <f aca="false">I7*(1-J7)-K7</f>
        <v>128.89</v>
      </c>
      <c r="M7" s="6" t="n">
        <f aca="false">G7*L7</f>
        <v>2706.69</v>
      </c>
      <c r="N7" s="6" t="n">
        <v>135.33</v>
      </c>
      <c r="O7" s="6" t="n">
        <v>0</v>
      </c>
      <c r="P7" s="6" t="n">
        <v>0</v>
      </c>
      <c r="Q7" s="6" t="n">
        <f aca="false">M7+N7+O7+P7</f>
        <v>2842.02</v>
      </c>
      <c r="R7" s="6" t="n">
        <v>260</v>
      </c>
      <c r="S7" s="6" t="n">
        <v>148.22</v>
      </c>
      <c r="T7" s="6" t="n">
        <v>167.56</v>
      </c>
    </row>
    <row r="8" customFormat="false" ht="19.5" hidden="false" customHeight="true" outlineLevel="0" collapsed="false">
      <c r="A8" s="8" t="n">
        <v>6</v>
      </c>
      <c r="B8" s="8" t="s">
        <v>32</v>
      </c>
      <c r="C8" s="9" t="s">
        <v>24</v>
      </c>
      <c r="D8" s="8" t="s">
        <v>25</v>
      </c>
      <c r="E8" s="8" t="s">
        <v>26</v>
      </c>
      <c r="F8" s="8" t="s">
        <v>27</v>
      </c>
      <c r="G8" s="10" t="n">
        <v>22</v>
      </c>
      <c r="H8" s="8"/>
      <c r="I8" s="11" t="n">
        <v>129.89</v>
      </c>
      <c r="J8" s="12" t="n">
        <v>0</v>
      </c>
      <c r="K8" s="11" t="n">
        <v>0</v>
      </c>
      <c r="L8" s="11" t="n">
        <f aca="false">I8*(1-J8)-K8</f>
        <v>129.89</v>
      </c>
      <c r="M8" s="11" t="n">
        <f aca="false">G8*L8</f>
        <v>2857.58</v>
      </c>
      <c r="N8" s="11" t="n">
        <v>142.88</v>
      </c>
      <c r="O8" s="11" t="n">
        <v>0</v>
      </c>
      <c r="P8" s="11" t="n">
        <v>0</v>
      </c>
      <c r="Q8" s="11" t="n">
        <f aca="false">M8+N8+O8+P8</f>
        <v>3000.46</v>
      </c>
      <c r="R8" s="11" t="n">
        <v>262.01</v>
      </c>
      <c r="S8" s="11" t="n">
        <v>149.37</v>
      </c>
      <c r="T8" s="11" t="n">
        <v>168.86</v>
      </c>
    </row>
    <row r="9" customFormat="false" ht="19.5" hidden="false" customHeight="true" outlineLevel="0" collapsed="false">
      <c r="A9" s="3" t="n">
        <v>7</v>
      </c>
      <c r="B9" s="3" t="s">
        <v>33</v>
      </c>
      <c r="C9" s="4" t="s">
        <v>24</v>
      </c>
      <c r="D9" s="3" t="s">
        <v>25</v>
      </c>
      <c r="E9" s="3" t="s">
        <v>26</v>
      </c>
      <c r="F9" s="3" t="s">
        <v>27</v>
      </c>
      <c r="G9" s="5" t="n">
        <v>22</v>
      </c>
      <c r="H9" s="3"/>
      <c r="I9" s="6" t="n">
        <v>128.89</v>
      </c>
      <c r="J9" s="7" t="n">
        <v>0</v>
      </c>
      <c r="K9" s="6" t="n">
        <v>0</v>
      </c>
      <c r="L9" s="6" t="n">
        <f aca="false">I9*(1-J9)-K9</f>
        <v>128.89</v>
      </c>
      <c r="M9" s="6" t="n">
        <f aca="false">G9*L9</f>
        <v>2835.58</v>
      </c>
      <c r="N9" s="6" t="n">
        <v>141.78</v>
      </c>
      <c r="O9" s="6" t="n">
        <v>0</v>
      </c>
      <c r="P9" s="6" t="n">
        <v>0</v>
      </c>
      <c r="Q9" s="6" t="n">
        <f aca="false">M9+N9+O9+P9</f>
        <v>2977.36</v>
      </c>
      <c r="R9" s="6" t="n">
        <v>260</v>
      </c>
      <c r="S9" s="6" t="n">
        <v>148.22</v>
      </c>
      <c r="T9" s="6" t="n">
        <v>167.56</v>
      </c>
    </row>
    <row r="10" customFormat="false" ht="19.5" hidden="false" customHeight="true" outlineLevel="0" collapsed="false">
      <c r="A10" s="8" t="n">
        <v>8</v>
      </c>
      <c r="B10" s="8" t="s">
        <v>34</v>
      </c>
      <c r="C10" s="9" t="s">
        <v>24</v>
      </c>
      <c r="D10" s="8" t="s">
        <v>25</v>
      </c>
      <c r="E10" s="8" t="s">
        <v>26</v>
      </c>
      <c r="F10" s="8" t="s">
        <v>27</v>
      </c>
      <c r="G10" s="10" t="n">
        <v>22</v>
      </c>
      <c r="H10" s="8"/>
      <c r="I10" s="11" t="n">
        <v>128.89</v>
      </c>
      <c r="J10" s="12" t="n">
        <v>0</v>
      </c>
      <c r="K10" s="11" t="n">
        <v>0</v>
      </c>
      <c r="L10" s="11" t="n">
        <f aca="false">I10*(1-J10)-K10</f>
        <v>128.89</v>
      </c>
      <c r="M10" s="11" t="n">
        <f aca="false">G10*L10</f>
        <v>2835.58</v>
      </c>
      <c r="N10" s="11" t="n">
        <v>141.78</v>
      </c>
      <c r="O10" s="11" t="n">
        <v>0</v>
      </c>
      <c r="P10" s="11" t="n">
        <v>0</v>
      </c>
      <c r="Q10" s="11" t="n">
        <f aca="false">M10+N10+O10+P10</f>
        <v>2977.36</v>
      </c>
      <c r="R10" s="11" t="n">
        <v>260</v>
      </c>
      <c r="S10" s="11" t="n">
        <v>148.22</v>
      </c>
      <c r="T10" s="11" t="n">
        <v>167.56</v>
      </c>
    </row>
    <row r="11" customFormat="false" ht="19.5" hidden="false" customHeight="true" outlineLevel="0" collapsed="false">
      <c r="A11" s="3" t="n">
        <v>9</v>
      </c>
      <c r="B11" s="3" t="s">
        <v>35</v>
      </c>
      <c r="C11" s="4" t="s">
        <v>24</v>
      </c>
      <c r="D11" s="3" t="s">
        <v>25</v>
      </c>
      <c r="E11" s="3" t="s">
        <v>26</v>
      </c>
      <c r="F11" s="3" t="s">
        <v>27</v>
      </c>
      <c r="G11" s="5" t="n">
        <v>22</v>
      </c>
      <c r="H11" s="3"/>
      <c r="I11" s="6" t="n">
        <v>128.89</v>
      </c>
      <c r="J11" s="7" t="n">
        <v>0</v>
      </c>
      <c r="K11" s="6" t="n">
        <v>0</v>
      </c>
      <c r="L11" s="6" t="n">
        <f aca="false">I11*(1-J11)-K11</f>
        <v>128.89</v>
      </c>
      <c r="M11" s="6" t="n">
        <f aca="false">G11*L11</f>
        <v>2835.58</v>
      </c>
      <c r="N11" s="6" t="n">
        <v>141.78</v>
      </c>
      <c r="O11" s="6" t="n">
        <v>0</v>
      </c>
      <c r="P11" s="6" t="n">
        <v>0</v>
      </c>
      <c r="Q11" s="6" t="n">
        <f aca="false">M11+N11+O11+P11</f>
        <v>2977.36</v>
      </c>
      <c r="R11" s="6" t="n">
        <v>260</v>
      </c>
      <c r="S11" s="6" t="n">
        <v>148.22</v>
      </c>
      <c r="T11" s="6" t="n">
        <v>167.56</v>
      </c>
    </row>
    <row r="12" customFormat="false" ht="19.5" hidden="false" customHeight="true" outlineLevel="0" collapsed="false">
      <c r="A12" s="8" t="n">
        <v>10</v>
      </c>
      <c r="B12" s="8" t="s">
        <v>36</v>
      </c>
      <c r="C12" s="9" t="s">
        <v>24</v>
      </c>
      <c r="D12" s="8" t="s">
        <v>25</v>
      </c>
      <c r="E12" s="8" t="s">
        <v>26</v>
      </c>
      <c r="F12" s="8" t="s">
        <v>27</v>
      </c>
      <c r="G12" s="10" t="n">
        <v>22</v>
      </c>
      <c r="H12" s="8"/>
      <c r="I12" s="11" t="n">
        <v>128.89</v>
      </c>
      <c r="J12" s="12" t="n">
        <v>0</v>
      </c>
      <c r="K12" s="11" t="n">
        <v>0</v>
      </c>
      <c r="L12" s="11" t="n">
        <f aca="false">I12*(1-J12)-K12</f>
        <v>128.89</v>
      </c>
      <c r="M12" s="11" t="n">
        <f aca="false">G12*L12</f>
        <v>2835.58</v>
      </c>
      <c r="N12" s="11" t="n">
        <v>141.78</v>
      </c>
      <c r="O12" s="11" t="n">
        <v>0</v>
      </c>
      <c r="P12" s="11" t="n">
        <v>0</v>
      </c>
      <c r="Q12" s="11" t="n">
        <f aca="false">M12+N12+O12+P12</f>
        <v>2977.36</v>
      </c>
      <c r="R12" s="11" t="n">
        <v>260</v>
      </c>
      <c r="S12" s="11" t="n">
        <v>148.22</v>
      </c>
      <c r="T12" s="11" t="n">
        <v>167.56</v>
      </c>
    </row>
    <row r="13" customFormat="false" ht="19.5" hidden="false" customHeight="true" outlineLevel="0" collapsed="false">
      <c r="A13" s="3" t="n">
        <v>11</v>
      </c>
      <c r="B13" s="3" t="s">
        <v>37</v>
      </c>
      <c r="C13" s="4" t="s">
        <v>24</v>
      </c>
      <c r="D13" s="3" t="s">
        <v>25</v>
      </c>
      <c r="E13" s="3" t="s">
        <v>26</v>
      </c>
      <c r="F13" s="3" t="s">
        <v>27</v>
      </c>
      <c r="G13" s="5" t="n">
        <v>22</v>
      </c>
      <c r="H13" s="3"/>
      <c r="I13" s="6" t="n">
        <v>128.89</v>
      </c>
      <c r="J13" s="7" t="n">
        <v>0</v>
      </c>
      <c r="K13" s="6" t="n">
        <v>0</v>
      </c>
      <c r="L13" s="6" t="n">
        <f aca="false">I13*(1-J13)-K13</f>
        <v>128.89</v>
      </c>
      <c r="M13" s="6" t="n">
        <f aca="false">G13*L13</f>
        <v>2835.58</v>
      </c>
      <c r="N13" s="6" t="n">
        <v>141.78</v>
      </c>
      <c r="O13" s="6" t="n">
        <v>0</v>
      </c>
      <c r="P13" s="6" t="n">
        <v>0</v>
      </c>
      <c r="Q13" s="6" t="n">
        <f aca="false">M13+N13+O13+P13</f>
        <v>2977.36</v>
      </c>
      <c r="R13" s="6" t="n">
        <v>260</v>
      </c>
      <c r="S13" s="6" t="n">
        <v>148.22</v>
      </c>
      <c r="T13" s="6" t="n">
        <v>167.56</v>
      </c>
    </row>
    <row r="14" customFormat="false" ht="19.5" hidden="false" customHeight="true" outlineLevel="0" collapsed="false">
      <c r="A14" s="8" t="n">
        <v>12</v>
      </c>
      <c r="B14" s="8" t="s">
        <v>38</v>
      </c>
      <c r="C14" s="9" t="s">
        <v>24</v>
      </c>
      <c r="D14" s="8" t="s">
        <v>25</v>
      </c>
      <c r="E14" s="8" t="s">
        <v>26</v>
      </c>
      <c r="F14" s="8" t="s">
        <v>27</v>
      </c>
      <c r="G14" s="10" t="n">
        <v>22</v>
      </c>
      <c r="H14" s="8"/>
      <c r="I14" s="11" t="n">
        <v>128.89</v>
      </c>
      <c r="J14" s="12" t="n">
        <v>0</v>
      </c>
      <c r="K14" s="11" t="n">
        <v>0</v>
      </c>
      <c r="L14" s="11" t="n">
        <f aca="false">I14*(1-J14)-K14</f>
        <v>128.89</v>
      </c>
      <c r="M14" s="11" t="n">
        <f aca="false">G14*L14</f>
        <v>2835.58</v>
      </c>
      <c r="N14" s="11" t="n">
        <v>141.78</v>
      </c>
      <c r="O14" s="11" t="n">
        <v>0</v>
      </c>
      <c r="P14" s="11" t="n">
        <v>0</v>
      </c>
      <c r="Q14" s="11" t="n">
        <f aca="false">M14+N14+O14+P14</f>
        <v>2977.36</v>
      </c>
      <c r="R14" s="11" t="n">
        <v>260</v>
      </c>
      <c r="S14" s="11" t="n">
        <v>148.22</v>
      </c>
      <c r="T14" s="11" t="n">
        <v>167.56</v>
      </c>
    </row>
    <row r="15" customFormat="false" ht="21.75" hidden="false" customHeight="true" outlineLevel="0" collapsed="false">
      <c r="A15" s="13" t="s">
        <v>39</v>
      </c>
      <c r="B15" s="14"/>
      <c r="C15" s="14"/>
      <c r="D15" s="14"/>
      <c r="E15" s="14"/>
      <c r="F15" s="14"/>
      <c r="G15" s="15" t="n">
        <f aca="false">SUM(G3:G14)</f>
        <v>265</v>
      </c>
      <c r="H15" s="14"/>
      <c r="I15" s="14"/>
      <c r="J15" s="14"/>
      <c r="K15" s="14"/>
      <c r="L15" s="14"/>
      <c r="M15" s="16" t="n">
        <f aca="false">SUM(M3:M14)</f>
        <v>34177.85</v>
      </c>
      <c r="N15" s="16" t="n">
        <f aca="false">SUM(N3:N14)</f>
        <v>1708.89</v>
      </c>
      <c r="O15" s="14"/>
      <c r="P15" s="14"/>
      <c r="Q15" s="16" t="n">
        <f aca="false">SUM(Q3:Q14)</f>
        <v>35886.74</v>
      </c>
      <c r="R15" s="14"/>
      <c r="S15" s="14"/>
      <c r="T15" s="14"/>
    </row>
    <row r="17" customFormat="false" ht="21.75" hidden="false" customHeight="true" outlineLevel="0" collapsed="false">
      <c r="A17" s="17" t="s">
        <v>40</v>
      </c>
    </row>
    <row r="18" customFormat="false" ht="24" hidden="false" customHeight="true" outlineLevel="0" collapsed="false">
      <c r="A18" s="2" t="s">
        <v>0</v>
      </c>
      <c r="B18" s="2" t="s">
        <v>41</v>
      </c>
      <c r="C18" s="2" t="s">
        <v>42</v>
      </c>
      <c r="D18" s="2" t="s">
        <v>43</v>
      </c>
      <c r="E18" s="2" t="s">
        <v>44</v>
      </c>
      <c r="F18" s="2" t="s">
        <v>8</v>
      </c>
      <c r="G18" s="2" t="s">
        <v>9</v>
      </c>
    </row>
    <row r="19" customFormat="false" ht="19.5" hidden="false" customHeight="true" outlineLevel="0" collapsed="false">
      <c r="A19" s="18" t="n">
        <v>1</v>
      </c>
      <c r="B19" s="18" t="n">
        <v>1</v>
      </c>
      <c r="C19" s="18" t="str">
        <f aca="false">C3</f>
        <v>SRB</v>
      </c>
      <c r="D19" s="19" t="n">
        <f aca="false">SUM(G3:G3)</f>
        <v>23</v>
      </c>
      <c r="E19" s="19" t="n">
        <f aca="false">SUM(M3:M3)</f>
        <v>2964.47</v>
      </c>
      <c r="F19" s="19" t="n">
        <f aca="false">ROUND(E19*5%,2)</f>
        <v>148.22</v>
      </c>
      <c r="G19" s="19" t="n">
        <f aca="false">E19+F19</f>
        <v>3112.69</v>
      </c>
    </row>
    <row r="20" customFormat="false" ht="19.5" hidden="false" customHeight="true" outlineLevel="0" collapsed="false">
      <c r="A20" s="18" t="n">
        <v>2</v>
      </c>
      <c r="B20" s="18" t="n">
        <v>2</v>
      </c>
      <c r="C20" s="18" t="str">
        <f aca="false">C4</f>
        <v>SRB</v>
      </c>
      <c r="D20" s="19" t="n">
        <f aca="false">SUM(G4:G4)</f>
        <v>23</v>
      </c>
      <c r="E20" s="19" t="n">
        <f aca="false">SUM(M4:M4)</f>
        <v>2964.47</v>
      </c>
      <c r="F20" s="19" t="n">
        <f aca="false">ROUND(E20*5%,2)</f>
        <v>148.22</v>
      </c>
      <c r="G20" s="19" t="n">
        <f aca="false">E20+F20</f>
        <v>3112.69</v>
      </c>
    </row>
    <row r="21" customFormat="false" ht="19.5" hidden="false" customHeight="true" outlineLevel="0" collapsed="false">
      <c r="A21" s="18" t="n">
        <v>3</v>
      </c>
      <c r="B21" s="18" t="n">
        <v>3</v>
      </c>
      <c r="C21" s="18" t="str">
        <f aca="false">C5</f>
        <v>SRB</v>
      </c>
      <c r="D21" s="19" t="n">
        <f aca="false">SUM(G5:G5)</f>
        <v>22</v>
      </c>
      <c r="E21" s="19" t="n">
        <f aca="false">SUM(M5:M5)</f>
        <v>2835.58</v>
      </c>
      <c r="F21" s="19" t="n">
        <f aca="false">ROUND(E21*5%,2)</f>
        <v>141.78</v>
      </c>
      <c r="G21" s="19" t="n">
        <f aca="false">E21+F21</f>
        <v>2977.36</v>
      </c>
    </row>
    <row r="22" customFormat="false" ht="19.5" hidden="false" customHeight="true" outlineLevel="0" collapsed="false">
      <c r="A22" s="18" t="n">
        <v>4</v>
      </c>
      <c r="B22" s="18" t="n">
        <v>4</v>
      </c>
      <c r="C22" s="18" t="str">
        <f aca="false">C6</f>
        <v>SRB</v>
      </c>
      <c r="D22" s="19" t="n">
        <f aca="false">SUM(G6:G6)</f>
        <v>22</v>
      </c>
      <c r="E22" s="19" t="n">
        <f aca="false">SUM(M6:M6)</f>
        <v>2835.58</v>
      </c>
      <c r="F22" s="19" t="n">
        <f aca="false">ROUND(E22*5%,2)</f>
        <v>141.78</v>
      </c>
      <c r="G22" s="19" t="n">
        <f aca="false">E22+F22</f>
        <v>2977.36</v>
      </c>
    </row>
    <row r="23" customFormat="false" ht="19.5" hidden="false" customHeight="true" outlineLevel="0" collapsed="false">
      <c r="A23" s="18" t="n">
        <v>5</v>
      </c>
      <c r="B23" s="18" t="n">
        <v>5</v>
      </c>
      <c r="C23" s="18" t="str">
        <f aca="false">C7</f>
        <v>SRB</v>
      </c>
      <c r="D23" s="19" t="n">
        <f aca="false">SUM(G7:G7)</f>
        <v>21</v>
      </c>
      <c r="E23" s="19" t="n">
        <f aca="false">SUM(M7:M7)</f>
        <v>2706.69</v>
      </c>
      <c r="F23" s="19" t="n">
        <f aca="false">ROUND(E23*5%,2)</f>
        <v>135.33</v>
      </c>
      <c r="G23" s="19" t="n">
        <f aca="false">E23+F23</f>
        <v>2842.02</v>
      </c>
    </row>
    <row r="24" customFormat="false" ht="19.5" hidden="false" customHeight="true" outlineLevel="0" collapsed="false">
      <c r="A24" s="18" t="n">
        <v>6</v>
      </c>
      <c r="B24" s="18" t="n">
        <v>6</v>
      </c>
      <c r="C24" s="18" t="str">
        <f aca="false">C8</f>
        <v>SRB</v>
      </c>
      <c r="D24" s="19" t="n">
        <f aca="false">SUM(G8:G8)</f>
        <v>22</v>
      </c>
      <c r="E24" s="19" t="n">
        <f aca="false">SUM(M8:M8)</f>
        <v>2857.58</v>
      </c>
      <c r="F24" s="19" t="n">
        <f aca="false">ROUND(E24*5%,2)</f>
        <v>142.88</v>
      </c>
      <c r="G24" s="19" t="n">
        <f aca="false">E24+F24</f>
        <v>3000.46</v>
      </c>
    </row>
    <row r="25" customFormat="false" ht="19.5" hidden="false" customHeight="true" outlineLevel="0" collapsed="false">
      <c r="A25" s="18" t="n">
        <v>7</v>
      </c>
      <c r="B25" s="18" t="n">
        <v>7</v>
      </c>
      <c r="C25" s="18" t="str">
        <f aca="false">C9</f>
        <v>SRB</v>
      </c>
      <c r="D25" s="19" t="n">
        <f aca="false">SUM(G9:G9)</f>
        <v>22</v>
      </c>
      <c r="E25" s="19" t="n">
        <f aca="false">SUM(M9:M9)</f>
        <v>2835.58</v>
      </c>
      <c r="F25" s="19" t="n">
        <f aca="false">ROUND(E25*5%,2)</f>
        <v>141.78</v>
      </c>
      <c r="G25" s="19" t="n">
        <f aca="false">E25+F25</f>
        <v>2977.36</v>
      </c>
    </row>
    <row r="26" customFormat="false" ht="19.5" hidden="false" customHeight="true" outlineLevel="0" collapsed="false">
      <c r="A26" s="18" t="n">
        <v>8</v>
      </c>
      <c r="B26" s="18" t="n">
        <v>8</v>
      </c>
      <c r="C26" s="18" t="str">
        <f aca="false">C10</f>
        <v>SRB</v>
      </c>
      <c r="D26" s="19" t="n">
        <f aca="false">SUM(G10:G10)</f>
        <v>22</v>
      </c>
      <c r="E26" s="19" t="n">
        <f aca="false">SUM(M10:M10)</f>
        <v>2835.58</v>
      </c>
      <c r="F26" s="19" t="n">
        <f aca="false">ROUND(E26*5%,2)</f>
        <v>141.78</v>
      </c>
      <c r="G26" s="19" t="n">
        <f aca="false">E26+F26</f>
        <v>2977.36</v>
      </c>
    </row>
    <row r="27" customFormat="false" ht="19.5" hidden="false" customHeight="true" outlineLevel="0" collapsed="false">
      <c r="A27" s="18" t="n">
        <v>9</v>
      </c>
      <c r="B27" s="18" t="n">
        <v>9</v>
      </c>
      <c r="C27" s="18" t="str">
        <f aca="false">C11</f>
        <v>SRB</v>
      </c>
      <c r="D27" s="19" t="n">
        <f aca="false">SUM(G11:G11)</f>
        <v>22</v>
      </c>
      <c r="E27" s="19" t="n">
        <f aca="false">SUM(M11:M11)</f>
        <v>2835.58</v>
      </c>
      <c r="F27" s="19" t="n">
        <f aca="false">ROUND(E27*5%,2)</f>
        <v>141.78</v>
      </c>
      <c r="G27" s="19" t="n">
        <f aca="false">E27+F27</f>
        <v>2977.36</v>
      </c>
    </row>
    <row r="28" customFormat="false" ht="19.5" hidden="false" customHeight="true" outlineLevel="0" collapsed="false">
      <c r="A28" s="18" t="n">
        <v>10</v>
      </c>
      <c r="B28" s="18" t="n">
        <v>10</v>
      </c>
      <c r="C28" s="18" t="str">
        <f aca="false">C12</f>
        <v>SRB</v>
      </c>
      <c r="D28" s="19" t="n">
        <f aca="false">SUM(G12:G12)</f>
        <v>22</v>
      </c>
      <c r="E28" s="19" t="n">
        <f aca="false">SUM(M12:M12)</f>
        <v>2835.58</v>
      </c>
      <c r="F28" s="19" t="n">
        <f aca="false">ROUND(E28*5%,2)</f>
        <v>141.78</v>
      </c>
      <c r="G28" s="19" t="n">
        <f aca="false">E28+F28</f>
        <v>2977.36</v>
      </c>
    </row>
    <row r="29" customFormat="false" ht="19.5" hidden="false" customHeight="true" outlineLevel="0" collapsed="false">
      <c r="A29" s="18" t="n">
        <v>11</v>
      </c>
      <c r="B29" s="18" t="n">
        <v>11</v>
      </c>
      <c r="C29" s="18" t="str">
        <f aca="false">C13</f>
        <v>SRB</v>
      </c>
      <c r="D29" s="19" t="n">
        <f aca="false">SUM(G13:G13)</f>
        <v>22</v>
      </c>
      <c r="E29" s="19" t="n">
        <f aca="false">SUM(M13:M13)</f>
        <v>2835.58</v>
      </c>
      <c r="F29" s="19" t="n">
        <f aca="false">ROUND(E29*5%,2)</f>
        <v>141.78</v>
      </c>
      <c r="G29" s="19" t="n">
        <f aca="false">E29+F29</f>
        <v>2977.36</v>
      </c>
    </row>
    <row r="30" customFormat="false" ht="19.5" hidden="false" customHeight="true" outlineLevel="0" collapsed="false">
      <c r="A30" s="18" t="n">
        <v>12</v>
      </c>
      <c r="B30" s="18" t="n">
        <v>12</v>
      </c>
      <c r="C30" s="18" t="str">
        <f aca="false">C14</f>
        <v>SRB</v>
      </c>
      <c r="D30" s="19" t="n">
        <f aca="false">SUM(G14:G14)</f>
        <v>22</v>
      </c>
      <c r="E30" s="19" t="n">
        <f aca="false">SUM(M14:M14)</f>
        <v>2835.58</v>
      </c>
      <c r="F30" s="19" t="n">
        <f aca="false">ROUND(E30*5%,2)</f>
        <v>141.78</v>
      </c>
      <c r="G30" s="19" t="n">
        <f aca="false">E30+F30</f>
        <v>2977.36</v>
      </c>
    </row>
    <row r="31" customFormat="false" ht="19.5" hidden="false" customHeight="true" outlineLevel="0" collapsed="false">
      <c r="A31" s="20" t="s">
        <v>39</v>
      </c>
      <c r="B31" s="21"/>
      <c r="C31" s="21"/>
      <c r="D31" s="22" t="n">
        <f aca="false">SUM(D19:D30)</f>
        <v>265</v>
      </c>
      <c r="E31" s="22" t="n">
        <f aca="false">SUM(E19:E30)</f>
        <v>34177.85</v>
      </c>
      <c r="F31" s="22" t="n">
        <f aca="false">ROUND(E31*5%,2)</f>
        <v>1708.89</v>
      </c>
      <c r="G31" s="22" t="n">
        <f aca="false">E31+F31</f>
        <v>35886.74</v>
      </c>
    </row>
  </sheetData>
  <mergeCells count="13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2026-09-08T11:48:43Z</dcterms:created>
  <dc:creator>openpyxl</dc:creator>
  <dc:description/>
  <dc:language>en-US</dc:language>
  <cp:lastModifiedBy/>
  <dcterms:modified xsi:type="dcterms:W3CDTF">2026-09-10T07:37:34Z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