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</sheets>
  <definedNames>
    <definedName function="false" hidden="true" localSheetId="0" name="_xlnm._FilterDatabase" vbProcedure="false">'Inventory Data'!$A$1:$V$100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04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<sst xmlns="http://schemas.openxmlformats.org/spreadsheetml/2006/main" count="520" uniqueCount="132">
  <si>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</si>
  <si>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</si>
  <si>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</si>
  <si>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</si>
  <si>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</si>
  <si>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</si>
  <si>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</si>
  <si>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</si>
  <si>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</si>
  <si>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</si>
  <si>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</si>
  <si>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</si>
  <si>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</si>
  <si>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</si>
  <si>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</si>
  <si>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</si>
  <si>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</si>
  <si>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</si>
  <si>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</si>
  <si>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</si>
  <si>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</si>
  <si>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</si>
  <si>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</si>
  <si>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</si>
  <si>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</si>
  <si>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8A1025</t>
  </si>
  <si>
    <t xml:space="preserve">15-SA-PURE</t>
  </si>
  <si>
    <t xml:space="preserve">500720</t>
  </si>
  <si>
    <t xml:space="preserve">GST 5 %</t>
  </si>
  <si>
    <t xml:space="preserve">Pc(s)</t>
  </si>
  <si>
    <t xml:space="preserve">8A1026</t>
  </si>
  <si>
    <t xml:space="preserve">8A1027</t>
  </si>
  <si>
    <t xml:space="preserve">8A1028</t>
  </si>
  <si>
    <t xml:space="preserve">8A1029</t>
  </si>
  <si>
    <t xml:space="preserve">8A1030</t>
  </si>
  <si>
    <t xml:space="preserve">8A1031</t>
  </si>
  <si>
    <t xml:space="preserve">8A1032</t>
  </si>
  <si>
    <t xml:space="preserve">8A1033</t>
  </si>
  <si>
    <t xml:space="preserve">8A1034</t>
  </si>
  <si>
    <t xml:space="preserve">8A1035</t>
  </si>
  <si>
    <t xml:space="preserve">8A1036</t>
  </si>
  <si>
    <t xml:space="preserve">8A1037</t>
  </si>
  <si>
    <t xml:space="preserve">8A1038</t>
  </si>
  <si>
    <t xml:space="preserve">8A1039</t>
  </si>
  <si>
    <t xml:space="preserve">8A1040</t>
  </si>
  <si>
    <t xml:space="preserve">8A1041</t>
  </si>
  <si>
    <t xml:space="preserve">8A1042</t>
  </si>
  <si>
    <t xml:space="preserve">8A1043</t>
  </si>
  <si>
    <t xml:space="preserve">8A1044</t>
  </si>
  <si>
    <t xml:space="preserve">8A1045</t>
  </si>
  <si>
    <t xml:space="preserve">8A1046</t>
  </si>
  <si>
    <t xml:space="preserve">8A1047</t>
  </si>
  <si>
    <t xml:space="preserve">8A1048</t>
  </si>
  <si>
    <t xml:space="preserve">8A1049</t>
  </si>
  <si>
    <t xml:space="preserve">8A1050</t>
  </si>
  <si>
    <t xml:space="preserve">8A1051</t>
  </si>
  <si>
    <t xml:space="preserve">8A1052</t>
  </si>
  <si>
    <t xml:space="preserve">8A1053</t>
  </si>
  <si>
    <t xml:space="preserve">8A1054</t>
  </si>
  <si>
    <t xml:space="preserve">8A1055</t>
  </si>
  <si>
    <t xml:space="preserve">8A1056</t>
  </si>
  <si>
    <t xml:space="preserve">8A1057</t>
  </si>
  <si>
    <t xml:space="preserve">8A1058</t>
  </si>
  <si>
    <t xml:space="preserve">8A1059</t>
  </si>
  <si>
    <t xml:space="preserve">8A1060</t>
  </si>
  <si>
    <t xml:space="preserve">8A1061</t>
  </si>
  <si>
    <t xml:space="preserve">8A1062</t>
  </si>
  <si>
    <t xml:space="preserve">8A1063</t>
  </si>
  <si>
    <t xml:space="preserve">8A1064</t>
  </si>
  <si>
    <t xml:space="preserve">8A1065</t>
  </si>
  <si>
    <t xml:space="preserve">8A1066</t>
  </si>
  <si>
    <t xml:space="preserve">8A1067</t>
  </si>
  <si>
    <t xml:space="preserve">8A1068</t>
  </si>
  <si>
    <t xml:space="preserve">8A1069</t>
  </si>
  <si>
    <t xml:space="preserve">8A1070</t>
  </si>
  <si>
    <t xml:space="preserve">8A1071</t>
  </si>
  <si>
    <t xml:space="preserve">8A1072</t>
  </si>
  <si>
    <t xml:space="preserve">8A1073</t>
  </si>
  <si>
    <t xml:space="preserve">8A1074</t>
  </si>
  <si>
    <t xml:space="preserve">8A1075</t>
  </si>
  <si>
    <t xml:space="preserve">8A1076</t>
  </si>
  <si>
    <t xml:space="preserve">8A1077</t>
  </si>
  <si>
    <t xml:space="preserve">8A1078</t>
  </si>
  <si>
    <t xml:space="preserve">8A1079</t>
  </si>
  <si>
    <t xml:space="preserve">8A1080</t>
  </si>
  <si>
    <t xml:space="preserve">8A1081</t>
  </si>
  <si>
    <t xml:space="preserve">8A1082</t>
  </si>
  <si>
    <t xml:space="preserve">8A1083</t>
  </si>
  <si>
    <t xml:space="preserve">8A1084</t>
  </si>
  <si>
    <t xml:space="preserve">8A1085</t>
  </si>
  <si>
    <t xml:space="preserve">8A1086</t>
  </si>
  <si>
    <t xml:space="preserve">8A1087</t>
  </si>
  <si>
    <t xml:space="preserve">8A1088</t>
  </si>
  <si>
    <t xml:space="preserve">8A1089</t>
  </si>
  <si>
    <t xml:space="preserve">8A1090</t>
  </si>
  <si>
    <t xml:space="preserve">8A1091</t>
  </si>
  <si>
    <t xml:space="preserve">8A1092</t>
  </si>
  <si>
    <t xml:space="preserve">8A1093</t>
  </si>
  <si>
    <t xml:space="preserve">8A1094</t>
  </si>
  <si>
    <t xml:space="preserve">8A1095</t>
  </si>
  <si>
    <t xml:space="preserve">8A1096</t>
  </si>
  <si>
    <t xml:space="preserve">8A1097</t>
  </si>
  <si>
    <t xml:space="preserve">8A1098</t>
  </si>
  <si>
    <t xml:space="preserve">8A1099</t>
  </si>
  <si>
    <t xml:space="preserve">8A1100</t>
  </si>
  <si>
    <t xml:space="preserve">8A1101</t>
  </si>
  <si>
    <t xml:space="preserve">8A1102</t>
  </si>
  <si>
    <t xml:space="preserve">8A1103</t>
  </si>
  <si>
    <t xml:space="preserve">8A1104</t>
  </si>
  <si>
    <t xml:space="preserve">8A1105</t>
  </si>
  <si>
    <t xml:space="preserve">8A1106</t>
  </si>
  <si>
    <t xml:space="preserve">8A1107</t>
  </si>
  <si>
    <t xml:space="preserve">8A1108</t>
  </si>
  <si>
    <t xml:space="preserve">8A1109</t>
  </si>
  <si>
    <t xml:space="preserve">8A1110</t>
  </si>
  <si>
    <t xml:space="preserve">8A1111</t>
  </si>
  <si>
    <t xml:space="preserve">8A1112</t>
  </si>
  <si>
    <t xml:space="preserve">8A1113</t>
  </si>
  <si>
    <t xml:space="preserve">8A1114</t>
  </si>
  <si>
    <t xml:space="preserve">8A1115</t>
  </si>
  <si>
    <t xml:space="preserve">8A1116</t>
  </si>
  <si>
    <t xml:space="preserve">8A1117</t>
  </si>
  <si>
    <t xml:space="preserve">8A1118</t>
  </si>
  <si>
    <t xml:space="preserve">8A1119</t>
  </si>
  <si>
    <t xml:space="preserve">8A1120</t>
  </si>
  <si>
    <t xml:space="preserve">8A1121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</si>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</sst>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3" t="n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6"/>
      <c r="I3" s="5" t="n">
        <v>7250</v>
      </c>
      <c r="J3" s="5" t="n">
        <v>0</v>
      </c>
      <c r="K3" s="5" t="n">
        <v>0</v>
      </c>
      <c r="L3" s="5" t="n">
        <f aca="false">I3*(1-J3/100)-K3</f>
        <v>7250</v>
      </c>
      <c r="M3" s="5" t="n">
        <f aca="false">G3*L3</f>
        <v>7250</v>
      </c>
      <c r="N3" s="5" t="n">
        <v>362.5</v>
      </c>
      <c r="O3" s="5" t="n">
        <v>0</v>
      </c>
      <c r="P3" s="5" t="n">
        <v>0</v>
      </c>
      <c r="Q3" s="5" t="n">
        <f aca="false">M3+N3+O3+P3</f>
        <v>7612.5</v>
      </c>
      <c r="R3" s="5" t="n">
        <v>11980</v>
      </c>
      <c r="S3" s="5" t="n">
        <v>8337.5</v>
      </c>
      <c r="T3" s="5" t="n">
        <v>9425</v>
      </c>
      <c r="U3" s="3"/>
      <c r="V3" s="3"/>
    </row>
    <row r="4" customFormat="false" ht="19.5" hidden="false" customHeight="true" outlineLevel="0" collapsed="false">
      <c r="A4" s="7" t="n">
        <v>2</v>
      </c>
      <c r="B4" s="7" t="s">
        <v>30</v>
      </c>
      <c r="C4" s="8" t="s">
        <v>26</v>
      </c>
      <c r="D4" s="7" t="s">
        <v>27</v>
      </c>
      <c r="E4" s="7" t="s">
        <v>28</v>
      </c>
      <c r="F4" s="7" t="s">
        <v>29</v>
      </c>
      <c r="G4" s="9" t="n">
        <v>1</v>
      </c>
      <c r="H4" s="10"/>
      <c r="I4" s="9" t="n">
        <v>7250</v>
      </c>
      <c r="J4" s="9" t="n">
        <v>0</v>
      </c>
      <c r="K4" s="9" t="n">
        <v>0</v>
      </c>
      <c r="L4" s="9" t="n">
        <f aca="false">I4*(1-J4/100)-K4</f>
        <v>7250</v>
      </c>
      <c r="M4" s="9" t="n">
        <f aca="false">G4*L4</f>
        <v>7250</v>
      </c>
      <c r="N4" s="9" t="n">
        <v>362.5</v>
      </c>
      <c r="O4" s="9" t="n">
        <v>0</v>
      </c>
      <c r="P4" s="9" t="n">
        <v>0</v>
      </c>
      <c r="Q4" s="9" t="n">
        <f aca="false">M4+N4+O4+P4</f>
        <v>7612.5</v>
      </c>
      <c r="R4" s="9" t="n">
        <v>11980</v>
      </c>
      <c r="S4" s="9" t="n">
        <v>8337.5</v>
      </c>
      <c r="T4" s="9" t="n">
        <v>9425</v>
      </c>
      <c r="U4" s="7"/>
      <c r="V4" s="7"/>
    </row>
    <row r="5" customFormat="false" ht="19.5" hidden="false" customHeight="true" outlineLevel="0" collapsed="false">
      <c r="A5" s="3" t="n">
        <v>3</v>
      </c>
      <c r="B5" s="3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6"/>
      <c r="I5" s="5" t="n">
        <v>7250</v>
      </c>
      <c r="J5" s="5" t="n">
        <v>0</v>
      </c>
      <c r="K5" s="5" t="n">
        <v>0</v>
      </c>
      <c r="L5" s="5" t="n">
        <f aca="false">I5*(1-J5/100)-K5</f>
        <v>7250</v>
      </c>
      <c r="M5" s="5" t="n">
        <f aca="false">G5*L5</f>
        <v>7250</v>
      </c>
      <c r="N5" s="5" t="n">
        <v>362.5</v>
      </c>
      <c r="O5" s="5" t="n">
        <v>0</v>
      </c>
      <c r="P5" s="5" t="n">
        <v>0</v>
      </c>
      <c r="Q5" s="5" t="n">
        <f aca="false">M5+N5+O5+P5</f>
        <v>7612.5</v>
      </c>
      <c r="R5" s="5" t="n">
        <v>11980</v>
      </c>
      <c r="S5" s="5" t="n">
        <v>8337.5</v>
      </c>
      <c r="T5" s="5" t="n">
        <v>9425</v>
      </c>
      <c r="U5" s="3"/>
      <c r="V5" s="3"/>
    </row>
    <row r="6" customFormat="false" ht="19.5" hidden="false" customHeight="true" outlineLevel="0" collapsed="false">
      <c r="A6" s="7" t="n">
        <v>4</v>
      </c>
      <c r="B6" s="7" t="s">
        <v>32</v>
      </c>
      <c r="C6" s="8" t="s">
        <v>26</v>
      </c>
      <c r="D6" s="7" t="s">
        <v>27</v>
      </c>
      <c r="E6" s="7" t="s">
        <v>28</v>
      </c>
      <c r="F6" s="7" t="s">
        <v>29</v>
      </c>
      <c r="G6" s="9" t="n">
        <v>1</v>
      </c>
      <c r="H6" s="10"/>
      <c r="I6" s="9" t="n">
        <v>7250</v>
      </c>
      <c r="J6" s="9" t="n">
        <v>0</v>
      </c>
      <c r="K6" s="9" t="n">
        <v>0</v>
      </c>
      <c r="L6" s="9" t="n">
        <f aca="false">I6*(1-J6/100)-K6</f>
        <v>7250</v>
      </c>
      <c r="M6" s="9" t="n">
        <f aca="false">G6*L6</f>
        <v>7250</v>
      </c>
      <c r="N6" s="9" t="n">
        <v>362.5</v>
      </c>
      <c r="O6" s="9" t="n">
        <v>0</v>
      </c>
      <c r="P6" s="9" t="n">
        <v>0</v>
      </c>
      <c r="Q6" s="9" t="n">
        <f aca="false">M6+N6+O6+P6</f>
        <v>7612.5</v>
      </c>
      <c r="R6" s="9" t="n">
        <v>11980</v>
      </c>
      <c r="S6" s="9" t="n">
        <v>8337.5</v>
      </c>
      <c r="T6" s="9" t="n">
        <v>9425</v>
      </c>
      <c r="U6" s="7"/>
      <c r="V6" s="7"/>
    </row>
    <row r="7" customFormat="false" ht="19.5" hidden="false" customHeight="true" outlineLevel="0" collapsed="false">
      <c r="A7" s="3" t="n">
        <v>5</v>
      </c>
      <c r="B7" s="3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6"/>
      <c r="I7" s="5" t="n">
        <v>7250</v>
      </c>
      <c r="J7" s="5" t="n">
        <v>0</v>
      </c>
      <c r="K7" s="5" t="n">
        <v>0</v>
      </c>
      <c r="L7" s="5" t="n">
        <f aca="false">I7*(1-J7/100)-K7</f>
        <v>7250</v>
      </c>
      <c r="M7" s="5" t="n">
        <f aca="false">G7*L7</f>
        <v>7250</v>
      </c>
      <c r="N7" s="5" t="n">
        <v>362.5</v>
      </c>
      <c r="O7" s="5" t="n">
        <v>0</v>
      </c>
      <c r="P7" s="5" t="n">
        <v>0</v>
      </c>
      <c r="Q7" s="5" t="n">
        <f aca="false">M7+N7+O7+P7</f>
        <v>7612.5</v>
      </c>
      <c r="R7" s="5" t="n">
        <v>11980</v>
      </c>
      <c r="S7" s="5" t="n">
        <v>8337.5</v>
      </c>
      <c r="T7" s="5" t="n">
        <v>9425</v>
      </c>
      <c r="U7" s="3"/>
      <c r="V7" s="3"/>
    </row>
    <row r="8" customFormat="false" ht="19.5" hidden="false" customHeight="true" outlineLevel="0" collapsed="false">
      <c r="A8" s="7" t="n">
        <v>6</v>
      </c>
      <c r="B8" s="7" t="s">
        <v>34</v>
      </c>
      <c r="C8" s="8" t="s">
        <v>26</v>
      </c>
      <c r="D8" s="7" t="s">
        <v>27</v>
      </c>
      <c r="E8" s="7" t="s">
        <v>28</v>
      </c>
      <c r="F8" s="7" t="s">
        <v>29</v>
      </c>
      <c r="G8" s="9" t="n">
        <v>1</v>
      </c>
      <c r="H8" s="10"/>
      <c r="I8" s="9" t="n">
        <v>7250</v>
      </c>
      <c r="J8" s="9" t="n">
        <v>0</v>
      </c>
      <c r="K8" s="9" t="n">
        <v>0</v>
      </c>
      <c r="L8" s="9" t="n">
        <f aca="false">I8*(1-J8/100)-K8</f>
        <v>7250</v>
      </c>
      <c r="M8" s="9" t="n">
        <f aca="false">G8*L8</f>
        <v>7250</v>
      </c>
      <c r="N8" s="9" t="n">
        <v>362.5</v>
      </c>
      <c r="O8" s="9" t="n">
        <v>0</v>
      </c>
      <c r="P8" s="9" t="n">
        <v>0</v>
      </c>
      <c r="Q8" s="9" t="n">
        <f aca="false">M8+N8+O8+P8</f>
        <v>7612.5</v>
      </c>
      <c r="R8" s="9" t="n">
        <v>11980</v>
      </c>
      <c r="S8" s="9" t="n">
        <v>8337.5</v>
      </c>
      <c r="T8" s="9" t="n">
        <v>9425</v>
      </c>
      <c r="U8" s="7"/>
      <c r="V8" s="7"/>
    </row>
    <row r="9" customFormat="false" ht="19.5" hidden="false" customHeight="true" outlineLevel="0" collapsed="false">
      <c r="A9" s="3" t="n">
        <v>7</v>
      </c>
      <c r="B9" s="3" t="s">
        <v>35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6"/>
      <c r="I9" s="5" t="n">
        <v>7250</v>
      </c>
      <c r="J9" s="5" t="n">
        <v>0</v>
      </c>
      <c r="K9" s="5" t="n">
        <v>0</v>
      </c>
      <c r="L9" s="5" t="n">
        <f aca="false">I9*(1-J9/100)-K9</f>
        <v>7250</v>
      </c>
      <c r="M9" s="5" t="n">
        <f aca="false">G9*L9</f>
        <v>7250</v>
      </c>
      <c r="N9" s="5" t="n">
        <v>362.5</v>
      </c>
      <c r="O9" s="5" t="n">
        <v>0</v>
      </c>
      <c r="P9" s="5" t="n">
        <v>0</v>
      </c>
      <c r="Q9" s="5" t="n">
        <f aca="false">M9+N9+O9+P9</f>
        <v>7612.5</v>
      </c>
      <c r="R9" s="5" t="n">
        <v>11980</v>
      </c>
      <c r="S9" s="5" t="n">
        <v>8337.5</v>
      </c>
      <c r="T9" s="5" t="n">
        <v>9425</v>
      </c>
      <c r="U9" s="3"/>
      <c r="V9" s="3"/>
    </row>
    <row r="10" customFormat="false" ht="19.5" hidden="false" customHeight="true" outlineLevel="0" collapsed="false">
      <c r="A10" s="7" t="n">
        <v>8</v>
      </c>
      <c r="B10" s="7" t="s">
        <v>36</v>
      </c>
      <c r="C10" s="8" t="s">
        <v>26</v>
      </c>
      <c r="D10" s="7" t="s">
        <v>27</v>
      </c>
      <c r="E10" s="7" t="s">
        <v>28</v>
      </c>
      <c r="F10" s="7" t="s">
        <v>29</v>
      </c>
      <c r="G10" s="9" t="n">
        <v>1</v>
      </c>
      <c r="H10" s="10"/>
      <c r="I10" s="9" t="n">
        <v>7150</v>
      </c>
      <c r="J10" s="9" t="n">
        <v>0</v>
      </c>
      <c r="K10" s="9" t="n">
        <v>0</v>
      </c>
      <c r="L10" s="9" t="n">
        <f aca="false">I10*(1-J10/100)-K10</f>
        <v>7150</v>
      </c>
      <c r="M10" s="9" t="n">
        <f aca="false">G10*L10</f>
        <v>7150</v>
      </c>
      <c r="N10" s="9" t="n">
        <v>357.5</v>
      </c>
      <c r="O10" s="9" t="n">
        <v>0</v>
      </c>
      <c r="P10" s="9" t="n">
        <v>0</v>
      </c>
      <c r="Q10" s="9" t="n">
        <f aca="false">M10+N10+O10+P10</f>
        <v>7507.5</v>
      </c>
      <c r="R10" s="9" t="n">
        <v>11980</v>
      </c>
      <c r="S10" s="9" t="n">
        <v>8222.5</v>
      </c>
      <c r="T10" s="9" t="n">
        <v>9295</v>
      </c>
      <c r="U10" s="7"/>
      <c r="V10" s="7"/>
    </row>
    <row r="11" customFormat="false" ht="19.5" hidden="false" customHeight="true" outlineLevel="0" collapsed="false">
      <c r="A11" s="3" t="n">
        <v>9</v>
      </c>
      <c r="B11" s="3" t="s">
        <v>37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</v>
      </c>
      <c r="H11" s="6"/>
      <c r="I11" s="5" t="n">
        <v>7150</v>
      </c>
      <c r="J11" s="5" t="n">
        <v>0</v>
      </c>
      <c r="K11" s="5" t="n">
        <v>0</v>
      </c>
      <c r="L11" s="5" t="n">
        <f aca="false">I11*(1-J11/100)-K11</f>
        <v>7150</v>
      </c>
      <c r="M11" s="5" t="n">
        <f aca="false">G11*L11</f>
        <v>7150</v>
      </c>
      <c r="N11" s="5" t="n">
        <v>357.5</v>
      </c>
      <c r="O11" s="5" t="n">
        <v>0</v>
      </c>
      <c r="P11" s="5" t="n">
        <v>0</v>
      </c>
      <c r="Q11" s="5" t="n">
        <f aca="false">M11+N11+O11+P11</f>
        <v>7507.5</v>
      </c>
      <c r="R11" s="5" t="n">
        <v>11980</v>
      </c>
      <c r="S11" s="5" t="n">
        <v>8222.5</v>
      </c>
      <c r="T11" s="5" t="n">
        <v>9295</v>
      </c>
      <c r="U11" s="3"/>
      <c r="V11" s="3"/>
    </row>
    <row r="12" customFormat="false" ht="19.5" hidden="false" customHeight="true" outlineLevel="0" collapsed="false">
      <c r="A12" s="7" t="n">
        <v>10</v>
      </c>
      <c r="B12" s="7" t="s">
        <v>38</v>
      </c>
      <c r="C12" s="8" t="s">
        <v>26</v>
      </c>
      <c r="D12" s="7" t="s">
        <v>27</v>
      </c>
      <c r="E12" s="7" t="s">
        <v>28</v>
      </c>
      <c r="F12" s="7" t="s">
        <v>29</v>
      </c>
      <c r="G12" s="9" t="n">
        <v>1</v>
      </c>
      <c r="H12" s="10"/>
      <c r="I12" s="9" t="n">
        <v>7150</v>
      </c>
      <c r="J12" s="9" t="n">
        <v>0</v>
      </c>
      <c r="K12" s="9" t="n">
        <v>0</v>
      </c>
      <c r="L12" s="9" t="n">
        <f aca="false">I12*(1-J12/100)-K12</f>
        <v>7150</v>
      </c>
      <c r="M12" s="9" t="n">
        <f aca="false">G12*L12</f>
        <v>7150</v>
      </c>
      <c r="N12" s="9" t="n">
        <v>357.5</v>
      </c>
      <c r="O12" s="9" t="n">
        <v>0</v>
      </c>
      <c r="P12" s="9" t="n">
        <v>0</v>
      </c>
      <c r="Q12" s="9" t="n">
        <f aca="false">M12+N12+O12+P12</f>
        <v>7507.5</v>
      </c>
      <c r="R12" s="9" t="n">
        <v>11980</v>
      </c>
      <c r="S12" s="9" t="n">
        <v>8222.5</v>
      </c>
      <c r="T12" s="9" t="n">
        <v>9295</v>
      </c>
      <c r="U12" s="7"/>
      <c r="V12" s="7"/>
    </row>
    <row r="13" customFormat="false" ht="19.5" hidden="false" customHeight="true" outlineLevel="0" collapsed="false">
      <c r="A13" s="3" t="n">
        <v>11</v>
      </c>
      <c r="B13" s="3" t="s">
        <v>39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</v>
      </c>
      <c r="H13" s="6"/>
      <c r="I13" s="5" t="n">
        <v>7150</v>
      </c>
      <c r="J13" s="5" t="n">
        <v>0</v>
      </c>
      <c r="K13" s="5" t="n">
        <v>0</v>
      </c>
      <c r="L13" s="5" t="n">
        <f aca="false">I13*(1-J13/100)-K13</f>
        <v>7150</v>
      </c>
      <c r="M13" s="5" t="n">
        <f aca="false">G13*L13</f>
        <v>7150</v>
      </c>
      <c r="N13" s="5" t="n">
        <v>357.5</v>
      </c>
      <c r="O13" s="5" t="n">
        <v>0</v>
      </c>
      <c r="P13" s="5" t="n">
        <v>0</v>
      </c>
      <c r="Q13" s="5" t="n">
        <f aca="false">M13+N13+O13+P13</f>
        <v>7507.5</v>
      </c>
      <c r="R13" s="5" t="n">
        <v>11980</v>
      </c>
      <c r="S13" s="5" t="n">
        <v>8222.5</v>
      </c>
      <c r="T13" s="5" t="n">
        <v>9295</v>
      </c>
      <c r="U13" s="3"/>
      <c r="V13" s="3"/>
    </row>
    <row r="14" customFormat="false" ht="19.5" hidden="false" customHeight="true" outlineLevel="0" collapsed="false">
      <c r="A14" s="7" t="n">
        <v>12</v>
      </c>
      <c r="B14" s="7" t="s">
        <v>40</v>
      </c>
      <c r="C14" s="8" t="s">
        <v>26</v>
      </c>
      <c r="D14" s="7" t="s">
        <v>27</v>
      </c>
      <c r="E14" s="7" t="s">
        <v>28</v>
      </c>
      <c r="F14" s="7" t="s">
        <v>29</v>
      </c>
      <c r="G14" s="9" t="n">
        <v>1</v>
      </c>
      <c r="H14" s="10"/>
      <c r="I14" s="9" t="n">
        <v>7150</v>
      </c>
      <c r="J14" s="9" t="n">
        <v>0</v>
      </c>
      <c r="K14" s="9" t="n">
        <v>0</v>
      </c>
      <c r="L14" s="9" t="n">
        <f aca="false">I14*(1-J14/100)-K14</f>
        <v>7150</v>
      </c>
      <c r="M14" s="9" t="n">
        <f aca="false">G14*L14</f>
        <v>7150</v>
      </c>
      <c r="N14" s="9" t="n">
        <v>357.5</v>
      </c>
      <c r="O14" s="9" t="n">
        <v>0</v>
      </c>
      <c r="P14" s="9" t="n">
        <v>0</v>
      </c>
      <c r="Q14" s="9" t="n">
        <f aca="false">M14+N14+O14+P14</f>
        <v>7507.5</v>
      </c>
      <c r="R14" s="9" t="n">
        <v>11980</v>
      </c>
      <c r="S14" s="9" t="n">
        <v>8222.5</v>
      </c>
      <c r="T14" s="9" t="n">
        <v>9295</v>
      </c>
      <c r="U14" s="7"/>
      <c r="V14" s="7"/>
    </row>
    <row r="15" customFormat="false" ht="19.5" hidden="false" customHeight="true" outlineLevel="0" collapsed="false">
      <c r="A15" s="3" t="n">
        <v>13</v>
      </c>
      <c r="B15" s="3" t="s">
        <v>41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</v>
      </c>
      <c r="H15" s="6"/>
      <c r="I15" s="5" t="n">
        <v>7150</v>
      </c>
      <c r="J15" s="5" t="n">
        <v>0</v>
      </c>
      <c r="K15" s="5" t="n">
        <v>0</v>
      </c>
      <c r="L15" s="5" t="n">
        <f aca="false">I15*(1-J15/100)-K15</f>
        <v>7150</v>
      </c>
      <c r="M15" s="5" t="n">
        <f aca="false">G15*L15</f>
        <v>7150</v>
      </c>
      <c r="N15" s="5" t="n">
        <v>357.5</v>
      </c>
      <c r="O15" s="5" t="n">
        <v>0</v>
      </c>
      <c r="P15" s="5" t="n">
        <v>0</v>
      </c>
      <c r="Q15" s="5" t="n">
        <f aca="false">M15+N15+O15+P15</f>
        <v>7507.5</v>
      </c>
      <c r="R15" s="5" t="n">
        <v>11980</v>
      </c>
      <c r="S15" s="5" t="n">
        <v>8222.5</v>
      </c>
      <c r="T15" s="5" t="n">
        <v>9295</v>
      </c>
      <c r="U15" s="3"/>
      <c r="V15" s="3"/>
    </row>
    <row r="16" customFormat="false" ht="19.5" hidden="false" customHeight="true" outlineLevel="0" collapsed="false">
      <c r="A16" s="7" t="n">
        <v>14</v>
      </c>
      <c r="B16" s="7" t="s">
        <v>42</v>
      </c>
      <c r="C16" s="8" t="s">
        <v>26</v>
      </c>
      <c r="D16" s="7" t="s">
        <v>27</v>
      </c>
      <c r="E16" s="7" t="s">
        <v>28</v>
      </c>
      <c r="F16" s="7" t="s">
        <v>29</v>
      </c>
      <c r="G16" s="9" t="n">
        <v>1</v>
      </c>
      <c r="H16" s="10"/>
      <c r="I16" s="9" t="n">
        <v>7150</v>
      </c>
      <c r="J16" s="9" t="n">
        <v>0</v>
      </c>
      <c r="K16" s="9" t="n">
        <v>0</v>
      </c>
      <c r="L16" s="9" t="n">
        <f aca="false">I16*(1-J16/100)-K16</f>
        <v>7150</v>
      </c>
      <c r="M16" s="9" t="n">
        <f aca="false">G16*L16</f>
        <v>7150</v>
      </c>
      <c r="N16" s="9" t="n">
        <v>357.5</v>
      </c>
      <c r="O16" s="9" t="n">
        <v>0</v>
      </c>
      <c r="P16" s="9" t="n">
        <v>0</v>
      </c>
      <c r="Q16" s="9" t="n">
        <f aca="false">M16+N16+O16+P16</f>
        <v>7507.5</v>
      </c>
      <c r="R16" s="9" t="n">
        <v>11980</v>
      </c>
      <c r="S16" s="9" t="n">
        <v>8222.5</v>
      </c>
      <c r="T16" s="9" t="n">
        <v>9295</v>
      </c>
      <c r="U16" s="7"/>
      <c r="V16" s="7"/>
    </row>
    <row r="17" customFormat="false" ht="19.5" hidden="false" customHeight="true" outlineLevel="0" collapsed="false">
      <c r="A17" s="3" t="n">
        <v>15</v>
      </c>
      <c r="B17" s="3" t="s">
        <v>43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</v>
      </c>
      <c r="H17" s="6"/>
      <c r="I17" s="5" t="n">
        <v>6400</v>
      </c>
      <c r="J17" s="5" t="n">
        <v>0</v>
      </c>
      <c r="K17" s="5" t="n">
        <v>0</v>
      </c>
      <c r="L17" s="5" t="n">
        <f aca="false">I17*(1-J17/100)-K17</f>
        <v>6400</v>
      </c>
      <c r="M17" s="5" t="n">
        <f aca="false">G17*L17</f>
        <v>6400</v>
      </c>
      <c r="N17" s="5" t="n">
        <v>320</v>
      </c>
      <c r="O17" s="5" t="n">
        <v>0</v>
      </c>
      <c r="P17" s="5" t="n">
        <v>0</v>
      </c>
      <c r="Q17" s="5" t="n">
        <f aca="false">M17+N17+O17+P17</f>
        <v>6720</v>
      </c>
      <c r="R17" s="5" t="n">
        <v>10780</v>
      </c>
      <c r="S17" s="5" t="n">
        <v>7360</v>
      </c>
      <c r="T17" s="5" t="n">
        <v>8320</v>
      </c>
      <c r="U17" s="3"/>
      <c r="V17" s="3"/>
    </row>
    <row r="18" customFormat="false" ht="19.5" hidden="false" customHeight="true" outlineLevel="0" collapsed="false">
      <c r="A18" s="7" t="n">
        <v>16</v>
      </c>
      <c r="B18" s="7" t="s">
        <v>44</v>
      </c>
      <c r="C18" s="8" t="s">
        <v>26</v>
      </c>
      <c r="D18" s="7" t="s">
        <v>27</v>
      </c>
      <c r="E18" s="7" t="s">
        <v>28</v>
      </c>
      <c r="F18" s="7" t="s">
        <v>29</v>
      </c>
      <c r="G18" s="9" t="n">
        <v>1</v>
      </c>
      <c r="H18" s="10"/>
      <c r="I18" s="9" t="n">
        <v>6400</v>
      </c>
      <c r="J18" s="9" t="n">
        <v>0</v>
      </c>
      <c r="K18" s="9" t="n">
        <v>0</v>
      </c>
      <c r="L18" s="9" t="n">
        <f aca="false">I18*(1-J18/100)-K18</f>
        <v>6400</v>
      </c>
      <c r="M18" s="9" t="n">
        <f aca="false">G18*L18</f>
        <v>6400</v>
      </c>
      <c r="N18" s="9" t="n">
        <v>320</v>
      </c>
      <c r="O18" s="9" t="n">
        <v>0</v>
      </c>
      <c r="P18" s="9" t="n">
        <v>0</v>
      </c>
      <c r="Q18" s="9" t="n">
        <f aca="false">M18+N18+O18+P18</f>
        <v>6720</v>
      </c>
      <c r="R18" s="9" t="n">
        <v>10780</v>
      </c>
      <c r="S18" s="9" t="n">
        <v>7360</v>
      </c>
      <c r="T18" s="9" t="n">
        <v>8320</v>
      </c>
      <c r="U18" s="7"/>
      <c r="V18" s="7"/>
    </row>
    <row r="19" customFormat="false" ht="19.5" hidden="false" customHeight="true" outlineLevel="0" collapsed="false">
      <c r="A19" s="3" t="n">
        <v>17</v>
      </c>
      <c r="B19" s="3" t="s">
        <v>45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</v>
      </c>
      <c r="H19" s="6"/>
      <c r="I19" s="5" t="n">
        <v>6400</v>
      </c>
      <c r="J19" s="5" t="n">
        <v>0</v>
      </c>
      <c r="K19" s="5" t="n">
        <v>0</v>
      </c>
      <c r="L19" s="5" t="n">
        <f aca="false">I19*(1-J19/100)-K19</f>
        <v>6400</v>
      </c>
      <c r="M19" s="5" t="n">
        <f aca="false">G19*L19</f>
        <v>6400</v>
      </c>
      <c r="N19" s="5" t="n">
        <v>320</v>
      </c>
      <c r="O19" s="5" t="n">
        <v>0</v>
      </c>
      <c r="P19" s="5" t="n">
        <v>0</v>
      </c>
      <c r="Q19" s="5" t="n">
        <f aca="false">M19+N19+O19+P19</f>
        <v>6720</v>
      </c>
      <c r="R19" s="5" t="n">
        <v>10780</v>
      </c>
      <c r="S19" s="5" t="n">
        <v>7360</v>
      </c>
      <c r="T19" s="5" t="n">
        <v>8320</v>
      </c>
      <c r="U19" s="3"/>
      <c r="V19" s="3"/>
    </row>
    <row r="20" customFormat="false" ht="19.5" hidden="false" customHeight="true" outlineLevel="0" collapsed="false">
      <c r="A20" s="7" t="n">
        <v>18</v>
      </c>
      <c r="B20" s="7" t="s">
        <v>46</v>
      </c>
      <c r="C20" s="8" t="s">
        <v>26</v>
      </c>
      <c r="D20" s="7" t="s">
        <v>27</v>
      </c>
      <c r="E20" s="7" t="s">
        <v>28</v>
      </c>
      <c r="F20" s="7" t="s">
        <v>29</v>
      </c>
      <c r="G20" s="9" t="n">
        <v>1</v>
      </c>
      <c r="H20" s="10"/>
      <c r="I20" s="9" t="n">
        <v>6400</v>
      </c>
      <c r="J20" s="9" t="n">
        <v>0</v>
      </c>
      <c r="K20" s="9" t="n">
        <v>0</v>
      </c>
      <c r="L20" s="9" t="n">
        <f aca="false">I20*(1-J20/100)-K20</f>
        <v>6400</v>
      </c>
      <c r="M20" s="9" t="n">
        <f aca="false">G20*L20</f>
        <v>6400</v>
      </c>
      <c r="N20" s="9" t="n">
        <v>320</v>
      </c>
      <c r="O20" s="9" t="n">
        <v>0</v>
      </c>
      <c r="P20" s="9" t="n">
        <v>0</v>
      </c>
      <c r="Q20" s="9" t="n">
        <f aca="false">M20+N20+O20+P20</f>
        <v>6720</v>
      </c>
      <c r="R20" s="9" t="n">
        <v>10780</v>
      </c>
      <c r="S20" s="9" t="n">
        <v>7360</v>
      </c>
      <c r="T20" s="9" t="n">
        <v>8320</v>
      </c>
      <c r="U20" s="7"/>
      <c r="V20" s="7"/>
    </row>
    <row r="21" customFormat="false" ht="19.5" hidden="false" customHeight="true" outlineLevel="0" collapsed="false">
      <c r="A21" s="3" t="n">
        <v>19</v>
      </c>
      <c r="B21" s="3" t="s">
        <v>47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1</v>
      </c>
      <c r="H21" s="6"/>
      <c r="I21" s="5" t="n">
        <v>6400</v>
      </c>
      <c r="J21" s="5" t="n">
        <v>0</v>
      </c>
      <c r="K21" s="5" t="n">
        <v>0</v>
      </c>
      <c r="L21" s="5" t="n">
        <f aca="false">I21*(1-J21/100)-K21</f>
        <v>6400</v>
      </c>
      <c r="M21" s="5" t="n">
        <f aca="false">G21*L21</f>
        <v>6400</v>
      </c>
      <c r="N21" s="5" t="n">
        <v>320</v>
      </c>
      <c r="O21" s="5" t="n">
        <v>0</v>
      </c>
      <c r="P21" s="5" t="n">
        <v>0</v>
      </c>
      <c r="Q21" s="5" t="n">
        <f aca="false">M21+N21+O21+P21</f>
        <v>6720</v>
      </c>
      <c r="R21" s="5" t="n">
        <v>10780</v>
      </c>
      <c r="S21" s="5" t="n">
        <v>7360</v>
      </c>
      <c r="T21" s="5" t="n">
        <v>8320</v>
      </c>
      <c r="U21" s="3"/>
      <c r="V21" s="3"/>
    </row>
    <row r="22" customFormat="false" ht="19.5" hidden="false" customHeight="true" outlineLevel="0" collapsed="false">
      <c r="A22" s="7" t="n">
        <v>20</v>
      </c>
      <c r="B22" s="7" t="s">
        <v>48</v>
      </c>
      <c r="C22" s="8" t="s">
        <v>26</v>
      </c>
      <c r="D22" s="7" t="s">
        <v>27</v>
      </c>
      <c r="E22" s="7" t="s">
        <v>28</v>
      </c>
      <c r="F22" s="7" t="s">
        <v>29</v>
      </c>
      <c r="G22" s="9" t="n">
        <v>1</v>
      </c>
      <c r="H22" s="10"/>
      <c r="I22" s="9" t="n">
        <v>6400</v>
      </c>
      <c r="J22" s="9" t="n">
        <v>0</v>
      </c>
      <c r="K22" s="9" t="n">
        <v>0</v>
      </c>
      <c r="L22" s="9" t="n">
        <f aca="false">I22*(1-J22/100)-K22</f>
        <v>6400</v>
      </c>
      <c r="M22" s="9" t="n">
        <f aca="false">G22*L22</f>
        <v>6400</v>
      </c>
      <c r="N22" s="9" t="n">
        <v>320</v>
      </c>
      <c r="O22" s="9" t="n">
        <v>0</v>
      </c>
      <c r="P22" s="9" t="n">
        <v>0</v>
      </c>
      <c r="Q22" s="9" t="n">
        <f aca="false">M22+N22+O22+P22</f>
        <v>6720</v>
      </c>
      <c r="R22" s="9" t="n">
        <v>10780</v>
      </c>
      <c r="S22" s="9" t="n">
        <v>7360</v>
      </c>
      <c r="T22" s="9" t="n">
        <v>8320</v>
      </c>
      <c r="U22" s="7"/>
      <c r="V22" s="7"/>
    </row>
    <row r="23" customFormat="false" ht="19.5" hidden="false" customHeight="true" outlineLevel="0" collapsed="false">
      <c r="A23" s="3" t="n">
        <v>21</v>
      </c>
      <c r="B23" s="3" t="s">
        <v>49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</v>
      </c>
      <c r="H23" s="6"/>
      <c r="I23" s="5" t="n">
        <v>6400</v>
      </c>
      <c r="J23" s="5" t="n">
        <v>0</v>
      </c>
      <c r="K23" s="5" t="n">
        <v>0</v>
      </c>
      <c r="L23" s="5" t="n">
        <f aca="false">I23*(1-J23/100)-K23</f>
        <v>6400</v>
      </c>
      <c r="M23" s="5" t="n">
        <f aca="false">G23*L23</f>
        <v>6400</v>
      </c>
      <c r="N23" s="5" t="n">
        <v>320</v>
      </c>
      <c r="O23" s="5" t="n">
        <v>0</v>
      </c>
      <c r="P23" s="5" t="n">
        <v>0</v>
      </c>
      <c r="Q23" s="5" t="n">
        <f aca="false">M23+N23+O23+P23</f>
        <v>6720</v>
      </c>
      <c r="R23" s="5" t="n">
        <v>10780</v>
      </c>
      <c r="S23" s="5" t="n">
        <v>7360</v>
      </c>
      <c r="T23" s="5" t="n">
        <v>8320</v>
      </c>
      <c r="U23" s="3"/>
      <c r="V23" s="3"/>
    </row>
    <row r="24" customFormat="false" ht="19.5" hidden="false" customHeight="true" outlineLevel="0" collapsed="false">
      <c r="A24" s="7" t="n">
        <v>22</v>
      </c>
      <c r="B24" s="7" t="s">
        <v>50</v>
      </c>
      <c r="C24" s="8" t="s">
        <v>26</v>
      </c>
      <c r="D24" s="7" t="s">
        <v>27</v>
      </c>
      <c r="E24" s="7" t="s">
        <v>28</v>
      </c>
      <c r="F24" s="7" t="s">
        <v>29</v>
      </c>
      <c r="G24" s="9" t="n">
        <v>1</v>
      </c>
      <c r="H24" s="10"/>
      <c r="I24" s="9" t="n">
        <v>6400</v>
      </c>
      <c r="J24" s="9" t="n">
        <v>0</v>
      </c>
      <c r="K24" s="9" t="n">
        <v>0</v>
      </c>
      <c r="L24" s="9" t="n">
        <f aca="false">I24*(1-J24/100)-K24</f>
        <v>6400</v>
      </c>
      <c r="M24" s="9" t="n">
        <f aca="false">G24*L24</f>
        <v>6400</v>
      </c>
      <c r="N24" s="9" t="n">
        <v>320</v>
      </c>
      <c r="O24" s="9" t="n">
        <v>0</v>
      </c>
      <c r="P24" s="9" t="n">
        <v>0</v>
      </c>
      <c r="Q24" s="9" t="n">
        <f aca="false">M24+N24+O24+P24</f>
        <v>6720</v>
      </c>
      <c r="R24" s="9" t="n">
        <v>10780</v>
      </c>
      <c r="S24" s="9" t="n">
        <v>7360</v>
      </c>
      <c r="T24" s="9" t="n">
        <v>8320</v>
      </c>
      <c r="U24" s="7"/>
      <c r="V24" s="7"/>
    </row>
    <row r="25" customFormat="false" ht="19.5" hidden="false" customHeight="true" outlineLevel="0" collapsed="false">
      <c r="A25" s="3" t="n">
        <v>23</v>
      </c>
      <c r="B25" s="3" t="s">
        <v>51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</v>
      </c>
      <c r="H25" s="6"/>
      <c r="I25" s="5" t="n">
        <v>6400</v>
      </c>
      <c r="J25" s="5" t="n">
        <v>0</v>
      </c>
      <c r="K25" s="5" t="n">
        <v>0</v>
      </c>
      <c r="L25" s="5" t="n">
        <f aca="false">I25*(1-J25/100)-K25</f>
        <v>6400</v>
      </c>
      <c r="M25" s="5" t="n">
        <f aca="false">G25*L25</f>
        <v>6400</v>
      </c>
      <c r="N25" s="5" t="n">
        <v>320</v>
      </c>
      <c r="O25" s="5" t="n">
        <v>0</v>
      </c>
      <c r="P25" s="5" t="n">
        <v>0</v>
      </c>
      <c r="Q25" s="5" t="n">
        <f aca="false">M25+N25+O25+P25</f>
        <v>6720</v>
      </c>
      <c r="R25" s="5" t="n">
        <v>10780</v>
      </c>
      <c r="S25" s="5" t="n">
        <v>7360</v>
      </c>
      <c r="T25" s="5" t="n">
        <v>8320</v>
      </c>
      <c r="U25" s="3"/>
      <c r="V25" s="3"/>
    </row>
    <row r="26" customFormat="false" ht="19.5" hidden="false" customHeight="true" outlineLevel="0" collapsed="false">
      <c r="A26" s="7" t="n">
        <v>24</v>
      </c>
      <c r="B26" s="7" t="s">
        <v>52</v>
      </c>
      <c r="C26" s="8" t="s">
        <v>26</v>
      </c>
      <c r="D26" s="7" t="s">
        <v>27</v>
      </c>
      <c r="E26" s="7" t="s">
        <v>28</v>
      </c>
      <c r="F26" s="7" t="s">
        <v>29</v>
      </c>
      <c r="G26" s="9" t="n">
        <v>1</v>
      </c>
      <c r="H26" s="10"/>
      <c r="I26" s="9" t="n">
        <v>6400</v>
      </c>
      <c r="J26" s="9" t="n">
        <v>0</v>
      </c>
      <c r="K26" s="9" t="n">
        <v>0</v>
      </c>
      <c r="L26" s="9" t="n">
        <f aca="false">I26*(1-J26/100)-K26</f>
        <v>6400</v>
      </c>
      <c r="M26" s="9" t="n">
        <f aca="false">G26*L26</f>
        <v>6400</v>
      </c>
      <c r="N26" s="9" t="n">
        <v>320</v>
      </c>
      <c r="O26" s="9" t="n">
        <v>0</v>
      </c>
      <c r="P26" s="9" t="n">
        <v>0</v>
      </c>
      <c r="Q26" s="9" t="n">
        <f aca="false">M26+N26+O26+P26</f>
        <v>6720</v>
      </c>
      <c r="R26" s="9" t="n">
        <v>10780</v>
      </c>
      <c r="S26" s="9" t="n">
        <v>7360</v>
      </c>
      <c r="T26" s="9" t="n">
        <v>8320</v>
      </c>
      <c r="U26" s="7"/>
      <c r="V26" s="7"/>
    </row>
    <row r="27" customFormat="false" ht="19.5" hidden="false" customHeight="true" outlineLevel="0" collapsed="false">
      <c r="A27" s="3" t="n">
        <v>25</v>
      </c>
      <c r="B27" s="3" t="s">
        <v>53</v>
      </c>
      <c r="C27" s="4" t="s">
        <v>26</v>
      </c>
      <c r="D27" s="3" t="s">
        <v>27</v>
      </c>
      <c r="E27" s="3" t="s">
        <v>28</v>
      </c>
      <c r="F27" s="3" t="s">
        <v>29</v>
      </c>
      <c r="G27" s="5" t="n">
        <v>1</v>
      </c>
      <c r="H27" s="6"/>
      <c r="I27" s="5" t="n">
        <v>6400</v>
      </c>
      <c r="J27" s="5" t="n">
        <v>0</v>
      </c>
      <c r="K27" s="5" t="n">
        <v>0</v>
      </c>
      <c r="L27" s="5" t="n">
        <f aca="false">I27*(1-J27/100)-K27</f>
        <v>6400</v>
      </c>
      <c r="M27" s="5" t="n">
        <f aca="false">G27*L27</f>
        <v>6400</v>
      </c>
      <c r="N27" s="5" t="n">
        <v>320</v>
      </c>
      <c r="O27" s="5" t="n">
        <v>0</v>
      </c>
      <c r="P27" s="5" t="n">
        <v>0</v>
      </c>
      <c r="Q27" s="5" t="n">
        <f aca="false">M27+N27+O27+P27</f>
        <v>6720</v>
      </c>
      <c r="R27" s="5" t="n">
        <v>10780</v>
      </c>
      <c r="S27" s="5" t="n">
        <v>7360</v>
      </c>
      <c r="T27" s="5" t="n">
        <v>8320</v>
      </c>
      <c r="U27" s="3"/>
      <c r="V27" s="3"/>
    </row>
    <row r="28" customFormat="false" ht="19.5" hidden="false" customHeight="true" outlineLevel="0" collapsed="false">
      <c r="A28" s="7" t="n">
        <v>26</v>
      </c>
      <c r="B28" s="7" t="s">
        <v>54</v>
      </c>
      <c r="C28" s="8" t="s">
        <v>26</v>
      </c>
      <c r="D28" s="7" t="s">
        <v>27</v>
      </c>
      <c r="E28" s="7" t="s">
        <v>28</v>
      </c>
      <c r="F28" s="7" t="s">
        <v>29</v>
      </c>
      <c r="G28" s="9" t="n">
        <v>1</v>
      </c>
      <c r="H28" s="10"/>
      <c r="I28" s="9" t="n">
        <v>6950</v>
      </c>
      <c r="J28" s="9" t="n">
        <v>0</v>
      </c>
      <c r="K28" s="9" t="n">
        <v>0</v>
      </c>
      <c r="L28" s="9" t="n">
        <f aca="false">I28*(1-J28/100)-K28</f>
        <v>6950</v>
      </c>
      <c r="M28" s="9" t="n">
        <f aca="false">G28*L28</f>
        <v>6950</v>
      </c>
      <c r="N28" s="9" t="n">
        <v>347.5</v>
      </c>
      <c r="O28" s="9" t="n">
        <v>0</v>
      </c>
      <c r="P28" s="9" t="n">
        <v>0</v>
      </c>
      <c r="Q28" s="9" t="n">
        <f aca="false">M28+N28+O28+P28</f>
        <v>7297.5</v>
      </c>
      <c r="R28" s="9" t="n">
        <v>11480</v>
      </c>
      <c r="S28" s="9" t="n">
        <v>7992.5</v>
      </c>
      <c r="T28" s="9" t="n">
        <v>9035</v>
      </c>
      <c r="U28" s="7"/>
      <c r="V28" s="7"/>
    </row>
    <row r="29" customFormat="false" ht="19.5" hidden="false" customHeight="true" outlineLevel="0" collapsed="false">
      <c r="A29" s="3" t="n">
        <v>27</v>
      </c>
      <c r="B29" s="3" t="s">
        <v>55</v>
      </c>
      <c r="C29" s="4" t="s">
        <v>26</v>
      </c>
      <c r="D29" s="3" t="s">
        <v>27</v>
      </c>
      <c r="E29" s="3" t="s">
        <v>28</v>
      </c>
      <c r="F29" s="3" t="s">
        <v>29</v>
      </c>
      <c r="G29" s="5" t="n">
        <v>1</v>
      </c>
      <c r="H29" s="6"/>
      <c r="I29" s="5" t="n">
        <v>6950</v>
      </c>
      <c r="J29" s="5" t="n">
        <v>0</v>
      </c>
      <c r="K29" s="5" t="n">
        <v>0</v>
      </c>
      <c r="L29" s="5" t="n">
        <f aca="false">I29*(1-J29/100)-K29</f>
        <v>6950</v>
      </c>
      <c r="M29" s="5" t="n">
        <f aca="false">G29*L29</f>
        <v>6950</v>
      </c>
      <c r="N29" s="5" t="n">
        <v>347.5</v>
      </c>
      <c r="O29" s="5" t="n">
        <v>0</v>
      </c>
      <c r="P29" s="5" t="n">
        <v>0</v>
      </c>
      <c r="Q29" s="5" t="n">
        <f aca="false">M29+N29+O29+P29</f>
        <v>7297.5</v>
      </c>
      <c r="R29" s="5" t="n">
        <v>11480</v>
      </c>
      <c r="S29" s="5" t="n">
        <v>7992.5</v>
      </c>
      <c r="T29" s="5" t="n">
        <v>9035</v>
      </c>
      <c r="U29" s="3"/>
      <c r="V29" s="3"/>
    </row>
    <row r="30" customFormat="false" ht="19.5" hidden="false" customHeight="true" outlineLevel="0" collapsed="false">
      <c r="A30" s="7" t="n">
        <v>28</v>
      </c>
      <c r="B30" s="7" t="s">
        <v>56</v>
      </c>
      <c r="C30" s="8" t="s">
        <v>26</v>
      </c>
      <c r="D30" s="7" t="s">
        <v>27</v>
      </c>
      <c r="E30" s="7" t="s">
        <v>28</v>
      </c>
      <c r="F30" s="7" t="s">
        <v>29</v>
      </c>
      <c r="G30" s="9" t="n">
        <v>1</v>
      </c>
      <c r="H30" s="10"/>
      <c r="I30" s="9" t="n">
        <v>6950</v>
      </c>
      <c r="J30" s="9" t="n">
        <v>0</v>
      </c>
      <c r="K30" s="9" t="n">
        <v>0</v>
      </c>
      <c r="L30" s="9" t="n">
        <f aca="false">I30*(1-J30/100)-K30</f>
        <v>6950</v>
      </c>
      <c r="M30" s="9" t="n">
        <f aca="false">G30*L30</f>
        <v>6950</v>
      </c>
      <c r="N30" s="9" t="n">
        <v>347.5</v>
      </c>
      <c r="O30" s="9" t="n">
        <v>0</v>
      </c>
      <c r="P30" s="9" t="n">
        <v>0</v>
      </c>
      <c r="Q30" s="9" t="n">
        <f aca="false">M30+N30+O30+P30</f>
        <v>7297.5</v>
      </c>
      <c r="R30" s="9" t="n">
        <v>11480</v>
      </c>
      <c r="S30" s="9" t="n">
        <v>7992.5</v>
      </c>
      <c r="T30" s="9" t="n">
        <v>9035</v>
      </c>
      <c r="U30" s="7"/>
      <c r="V30" s="7"/>
    </row>
    <row r="31" customFormat="false" ht="19.5" hidden="false" customHeight="true" outlineLevel="0" collapsed="false">
      <c r="A31" s="3" t="n">
        <v>29</v>
      </c>
      <c r="B31" s="3" t="s">
        <v>57</v>
      </c>
      <c r="C31" s="4" t="s">
        <v>26</v>
      </c>
      <c r="D31" s="3" t="s">
        <v>27</v>
      </c>
      <c r="E31" s="3" t="s">
        <v>28</v>
      </c>
      <c r="F31" s="3" t="s">
        <v>29</v>
      </c>
      <c r="G31" s="5" t="n">
        <v>1</v>
      </c>
      <c r="H31" s="6"/>
      <c r="I31" s="5" t="n">
        <v>6950</v>
      </c>
      <c r="J31" s="5" t="n">
        <v>0</v>
      </c>
      <c r="K31" s="5" t="n">
        <v>0</v>
      </c>
      <c r="L31" s="5" t="n">
        <f aca="false">I31*(1-J31/100)-K31</f>
        <v>6950</v>
      </c>
      <c r="M31" s="5" t="n">
        <f aca="false">G31*L31</f>
        <v>6950</v>
      </c>
      <c r="N31" s="5" t="n">
        <v>347.5</v>
      </c>
      <c r="O31" s="5" t="n">
        <v>0</v>
      </c>
      <c r="P31" s="5" t="n">
        <v>0</v>
      </c>
      <c r="Q31" s="5" t="n">
        <f aca="false">M31+N31+O31+P31</f>
        <v>7297.5</v>
      </c>
      <c r="R31" s="5" t="n">
        <v>11480</v>
      </c>
      <c r="S31" s="5" t="n">
        <v>7992.5</v>
      </c>
      <c r="T31" s="5" t="n">
        <v>9035</v>
      </c>
      <c r="U31" s="3"/>
      <c r="V31" s="3"/>
    </row>
    <row r="32" customFormat="false" ht="19.5" hidden="false" customHeight="true" outlineLevel="0" collapsed="false">
      <c r="A32" s="7" t="n">
        <v>30</v>
      </c>
      <c r="B32" s="7" t="s">
        <v>58</v>
      </c>
      <c r="C32" s="8" t="s">
        <v>26</v>
      </c>
      <c r="D32" s="7" t="s">
        <v>27</v>
      </c>
      <c r="E32" s="7" t="s">
        <v>28</v>
      </c>
      <c r="F32" s="7" t="s">
        <v>29</v>
      </c>
      <c r="G32" s="9" t="n">
        <v>1</v>
      </c>
      <c r="H32" s="10"/>
      <c r="I32" s="9" t="n">
        <v>6950</v>
      </c>
      <c r="J32" s="9" t="n">
        <v>0</v>
      </c>
      <c r="K32" s="9" t="n">
        <v>0</v>
      </c>
      <c r="L32" s="9" t="n">
        <f aca="false">I32*(1-J32/100)-K32</f>
        <v>6950</v>
      </c>
      <c r="M32" s="9" t="n">
        <f aca="false">G32*L32</f>
        <v>6950</v>
      </c>
      <c r="N32" s="9" t="n">
        <v>347.5</v>
      </c>
      <c r="O32" s="9" t="n">
        <v>0</v>
      </c>
      <c r="P32" s="9" t="n">
        <v>0</v>
      </c>
      <c r="Q32" s="9" t="n">
        <f aca="false">M32+N32+O32+P32</f>
        <v>7297.5</v>
      </c>
      <c r="R32" s="9" t="n">
        <v>11480</v>
      </c>
      <c r="S32" s="9" t="n">
        <v>7992.5</v>
      </c>
      <c r="T32" s="9" t="n">
        <v>9035</v>
      </c>
      <c r="U32" s="7"/>
      <c r="V32" s="7"/>
    </row>
    <row r="33" customFormat="false" ht="19.5" hidden="false" customHeight="true" outlineLevel="0" collapsed="false">
      <c r="A33" s="3" t="n">
        <v>31</v>
      </c>
      <c r="B33" s="3" t="s">
        <v>59</v>
      </c>
      <c r="C33" s="4" t="s">
        <v>26</v>
      </c>
      <c r="D33" s="3" t="s">
        <v>27</v>
      </c>
      <c r="E33" s="3" t="s">
        <v>28</v>
      </c>
      <c r="F33" s="3" t="s">
        <v>29</v>
      </c>
      <c r="G33" s="5" t="n">
        <v>1</v>
      </c>
      <c r="H33" s="6"/>
      <c r="I33" s="5" t="n">
        <v>6950</v>
      </c>
      <c r="J33" s="5" t="n">
        <v>0</v>
      </c>
      <c r="K33" s="5" t="n">
        <v>0</v>
      </c>
      <c r="L33" s="5" t="n">
        <f aca="false">I33*(1-J33/100)-K33</f>
        <v>6950</v>
      </c>
      <c r="M33" s="5" t="n">
        <f aca="false">G33*L33</f>
        <v>6950</v>
      </c>
      <c r="N33" s="5" t="n">
        <v>347.5</v>
      </c>
      <c r="O33" s="5" t="n">
        <v>0</v>
      </c>
      <c r="P33" s="5" t="n">
        <v>0</v>
      </c>
      <c r="Q33" s="5" t="n">
        <f aca="false">M33+N33+O33+P33</f>
        <v>7297.5</v>
      </c>
      <c r="R33" s="5" t="n">
        <v>11480</v>
      </c>
      <c r="S33" s="5" t="n">
        <v>7992.5</v>
      </c>
      <c r="T33" s="5" t="n">
        <v>9035</v>
      </c>
      <c r="U33" s="3"/>
      <c r="V33" s="3"/>
    </row>
    <row r="34" customFormat="false" ht="19.5" hidden="false" customHeight="true" outlineLevel="0" collapsed="false">
      <c r="A34" s="7" t="n">
        <v>32</v>
      </c>
      <c r="B34" s="7" t="s">
        <v>60</v>
      </c>
      <c r="C34" s="8" t="s">
        <v>26</v>
      </c>
      <c r="D34" s="7" t="s">
        <v>27</v>
      </c>
      <c r="E34" s="7" t="s">
        <v>28</v>
      </c>
      <c r="F34" s="7" t="s">
        <v>29</v>
      </c>
      <c r="G34" s="9" t="n">
        <v>1</v>
      </c>
      <c r="H34" s="10"/>
      <c r="I34" s="9" t="n">
        <v>6100</v>
      </c>
      <c r="J34" s="9" t="n">
        <v>0</v>
      </c>
      <c r="K34" s="9" t="n">
        <v>0</v>
      </c>
      <c r="L34" s="9" t="n">
        <f aca="false">I34*(1-J34/100)-K34</f>
        <v>6100</v>
      </c>
      <c r="M34" s="9" t="n">
        <f aca="false">G34*L34</f>
        <v>6100</v>
      </c>
      <c r="N34" s="9" t="n">
        <v>305</v>
      </c>
      <c r="O34" s="9" t="n">
        <v>0</v>
      </c>
      <c r="P34" s="9" t="n">
        <v>0</v>
      </c>
      <c r="Q34" s="9" t="n">
        <f aca="false">M34+N34+O34+P34</f>
        <v>6405</v>
      </c>
      <c r="R34" s="9" t="n">
        <v>10280</v>
      </c>
      <c r="S34" s="9" t="n">
        <v>7015</v>
      </c>
      <c r="T34" s="9" t="n">
        <v>7930</v>
      </c>
      <c r="U34" s="7"/>
      <c r="V34" s="7"/>
    </row>
    <row r="35" customFormat="false" ht="19.5" hidden="false" customHeight="true" outlineLevel="0" collapsed="false">
      <c r="A35" s="3" t="n">
        <v>33</v>
      </c>
      <c r="B35" s="3" t="s">
        <v>61</v>
      </c>
      <c r="C35" s="4" t="s">
        <v>26</v>
      </c>
      <c r="D35" s="3" t="s">
        <v>27</v>
      </c>
      <c r="E35" s="3" t="s">
        <v>28</v>
      </c>
      <c r="F35" s="3" t="s">
        <v>29</v>
      </c>
      <c r="G35" s="5" t="n">
        <v>1</v>
      </c>
      <c r="H35" s="6"/>
      <c r="I35" s="5" t="n">
        <v>6100</v>
      </c>
      <c r="J35" s="5" t="n">
        <v>0</v>
      </c>
      <c r="K35" s="5" t="n">
        <v>0</v>
      </c>
      <c r="L35" s="5" t="n">
        <f aca="false">I35*(1-J35/100)-K35</f>
        <v>6100</v>
      </c>
      <c r="M35" s="5" t="n">
        <f aca="false">G35*L35</f>
        <v>6100</v>
      </c>
      <c r="N35" s="5" t="n">
        <v>305</v>
      </c>
      <c r="O35" s="5" t="n">
        <v>0</v>
      </c>
      <c r="P35" s="5" t="n">
        <v>0</v>
      </c>
      <c r="Q35" s="5" t="n">
        <f aca="false">M35+N35+O35+P35</f>
        <v>6405</v>
      </c>
      <c r="R35" s="5" t="n">
        <v>10280</v>
      </c>
      <c r="S35" s="5" t="n">
        <v>7015</v>
      </c>
      <c r="T35" s="5" t="n">
        <v>7930</v>
      </c>
      <c r="U35" s="3"/>
      <c r="V35" s="3"/>
    </row>
    <row r="36" customFormat="false" ht="19.5" hidden="false" customHeight="true" outlineLevel="0" collapsed="false">
      <c r="A36" s="7" t="n">
        <v>34</v>
      </c>
      <c r="B36" s="7" t="s">
        <v>62</v>
      </c>
      <c r="C36" s="8" t="s">
        <v>26</v>
      </c>
      <c r="D36" s="7" t="s">
        <v>27</v>
      </c>
      <c r="E36" s="7" t="s">
        <v>28</v>
      </c>
      <c r="F36" s="7" t="s">
        <v>29</v>
      </c>
      <c r="G36" s="9" t="n">
        <v>1</v>
      </c>
      <c r="H36" s="10"/>
      <c r="I36" s="9" t="n">
        <v>6100</v>
      </c>
      <c r="J36" s="9" t="n">
        <v>0</v>
      </c>
      <c r="K36" s="9" t="n">
        <v>0</v>
      </c>
      <c r="L36" s="9" t="n">
        <f aca="false">I36*(1-J36/100)-K36</f>
        <v>6100</v>
      </c>
      <c r="M36" s="9" t="n">
        <f aca="false">G36*L36</f>
        <v>6100</v>
      </c>
      <c r="N36" s="9" t="n">
        <v>305</v>
      </c>
      <c r="O36" s="9" t="n">
        <v>0</v>
      </c>
      <c r="P36" s="9" t="n">
        <v>0</v>
      </c>
      <c r="Q36" s="9" t="n">
        <f aca="false">M36+N36+O36+P36</f>
        <v>6405</v>
      </c>
      <c r="R36" s="9" t="n">
        <v>10280</v>
      </c>
      <c r="S36" s="9" t="n">
        <v>7015</v>
      </c>
      <c r="T36" s="9" t="n">
        <v>7930</v>
      </c>
      <c r="U36" s="7"/>
      <c r="V36" s="7"/>
    </row>
    <row r="37" customFormat="false" ht="19.5" hidden="false" customHeight="true" outlineLevel="0" collapsed="false">
      <c r="A37" s="3" t="n">
        <v>35</v>
      </c>
      <c r="B37" s="3" t="s">
        <v>63</v>
      </c>
      <c r="C37" s="4" t="s">
        <v>26</v>
      </c>
      <c r="D37" s="3" t="s">
        <v>27</v>
      </c>
      <c r="E37" s="3" t="s">
        <v>28</v>
      </c>
      <c r="F37" s="3" t="s">
        <v>29</v>
      </c>
      <c r="G37" s="5" t="n">
        <v>1</v>
      </c>
      <c r="H37" s="6"/>
      <c r="I37" s="5" t="n">
        <v>6100</v>
      </c>
      <c r="J37" s="5" t="n">
        <v>0</v>
      </c>
      <c r="K37" s="5" t="n">
        <v>0</v>
      </c>
      <c r="L37" s="5" t="n">
        <f aca="false">I37*(1-J37/100)-K37</f>
        <v>6100</v>
      </c>
      <c r="M37" s="5" t="n">
        <f aca="false">G37*L37</f>
        <v>6100</v>
      </c>
      <c r="N37" s="5" t="n">
        <v>305</v>
      </c>
      <c r="O37" s="5" t="n">
        <v>0</v>
      </c>
      <c r="P37" s="5" t="n">
        <v>0</v>
      </c>
      <c r="Q37" s="5" t="n">
        <f aca="false">M37+N37+O37+P37</f>
        <v>6405</v>
      </c>
      <c r="R37" s="5" t="n">
        <v>10280</v>
      </c>
      <c r="S37" s="5" t="n">
        <v>7015</v>
      </c>
      <c r="T37" s="5" t="n">
        <v>7930</v>
      </c>
      <c r="U37" s="3"/>
      <c r="V37" s="3"/>
    </row>
    <row r="38" customFormat="false" ht="19.5" hidden="false" customHeight="true" outlineLevel="0" collapsed="false">
      <c r="A38" s="7" t="n">
        <v>36</v>
      </c>
      <c r="B38" s="7" t="s">
        <v>64</v>
      </c>
      <c r="C38" s="8" t="s">
        <v>26</v>
      </c>
      <c r="D38" s="7" t="s">
        <v>27</v>
      </c>
      <c r="E38" s="7" t="s">
        <v>28</v>
      </c>
      <c r="F38" s="7" t="s">
        <v>29</v>
      </c>
      <c r="G38" s="9" t="n">
        <v>1</v>
      </c>
      <c r="H38" s="10"/>
      <c r="I38" s="9" t="n">
        <v>6100</v>
      </c>
      <c r="J38" s="9" t="n">
        <v>0</v>
      </c>
      <c r="K38" s="9" t="n">
        <v>0</v>
      </c>
      <c r="L38" s="9" t="n">
        <f aca="false">I38*(1-J38/100)-K38</f>
        <v>6100</v>
      </c>
      <c r="M38" s="9" t="n">
        <f aca="false">G38*L38</f>
        <v>6100</v>
      </c>
      <c r="N38" s="9" t="n">
        <v>305</v>
      </c>
      <c r="O38" s="9" t="n">
        <v>0</v>
      </c>
      <c r="P38" s="9" t="n">
        <v>0</v>
      </c>
      <c r="Q38" s="9" t="n">
        <f aca="false">M38+N38+O38+P38</f>
        <v>6405</v>
      </c>
      <c r="R38" s="9" t="n">
        <v>10280</v>
      </c>
      <c r="S38" s="9" t="n">
        <v>7015</v>
      </c>
      <c r="T38" s="9" t="n">
        <v>7930</v>
      </c>
      <c r="U38" s="7"/>
      <c r="V38" s="7"/>
    </row>
    <row r="39" customFormat="false" ht="19.5" hidden="false" customHeight="true" outlineLevel="0" collapsed="false">
      <c r="A39" s="3" t="n">
        <v>37</v>
      </c>
      <c r="B39" s="3" t="s">
        <v>65</v>
      </c>
      <c r="C39" s="4" t="s">
        <v>26</v>
      </c>
      <c r="D39" s="3" t="s">
        <v>27</v>
      </c>
      <c r="E39" s="3" t="s">
        <v>28</v>
      </c>
      <c r="F39" s="3" t="s">
        <v>29</v>
      </c>
      <c r="G39" s="5" t="n">
        <v>1</v>
      </c>
      <c r="H39" s="6"/>
      <c r="I39" s="5" t="n">
        <v>6100</v>
      </c>
      <c r="J39" s="5" t="n">
        <v>0</v>
      </c>
      <c r="K39" s="5" t="n">
        <v>0</v>
      </c>
      <c r="L39" s="5" t="n">
        <f aca="false">I39*(1-J39/100)-K39</f>
        <v>6100</v>
      </c>
      <c r="M39" s="5" t="n">
        <f aca="false">G39*L39</f>
        <v>6100</v>
      </c>
      <c r="N39" s="5" t="n">
        <v>305</v>
      </c>
      <c r="O39" s="5" t="n">
        <v>0</v>
      </c>
      <c r="P39" s="5" t="n">
        <v>0</v>
      </c>
      <c r="Q39" s="5" t="n">
        <f aca="false">M39+N39+O39+P39</f>
        <v>6405</v>
      </c>
      <c r="R39" s="5" t="n">
        <v>10280</v>
      </c>
      <c r="S39" s="5" t="n">
        <v>7015</v>
      </c>
      <c r="T39" s="5" t="n">
        <v>7930</v>
      </c>
      <c r="U39" s="3"/>
      <c r="V39" s="3"/>
    </row>
    <row r="40" customFormat="false" ht="19.5" hidden="false" customHeight="true" outlineLevel="0" collapsed="false">
      <c r="A40" s="7" t="n">
        <v>38</v>
      </c>
      <c r="B40" s="7" t="s">
        <v>66</v>
      </c>
      <c r="C40" s="8" t="s">
        <v>26</v>
      </c>
      <c r="D40" s="7" t="s">
        <v>27</v>
      </c>
      <c r="E40" s="7" t="s">
        <v>28</v>
      </c>
      <c r="F40" s="7" t="s">
        <v>29</v>
      </c>
      <c r="G40" s="9" t="n">
        <v>1</v>
      </c>
      <c r="H40" s="10"/>
      <c r="I40" s="9" t="n">
        <v>6100</v>
      </c>
      <c r="J40" s="9" t="n">
        <v>0</v>
      </c>
      <c r="K40" s="9" t="n">
        <v>0</v>
      </c>
      <c r="L40" s="9" t="n">
        <f aca="false">I40*(1-J40/100)-K40</f>
        <v>6100</v>
      </c>
      <c r="M40" s="9" t="n">
        <f aca="false">G40*L40</f>
        <v>6100</v>
      </c>
      <c r="N40" s="9" t="n">
        <v>305</v>
      </c>
      <c r="O40" s="9" t="n">
        <v>0</v>
      </c>
      <c r="P40" s="9" t="n">
        <v>0</v>
      </c>
      <c r="Q40" s="9" t="n">
        <f aca="false">M40+N40+O40+P40</f>
        <v>6405</v>
      </c>
      <c r="R40" s="9" t="n">
        <v>10280</v>
      </c>
      <c r="S40" s="9" t="n">
        <v>7015</v>
      </c>
      <c r="T40" s="9" t="n">
        <v>7930</v>
      </c>
      <c r="U40" s="7"/>
      <c r="V40" s="7"/>
    </row>
    <row r="41" customFormat="false" ht="19.5" hidden="false" customHeight="true" outlineLevel="0" collapsed="false">
      <c r="A41" s="3" t="n">
        <v>39</v>
      </c>
      <c r="B41" s="3" t="s">
        <v>67</v>
      </c>
      <c r="C41" s="4" t="s">
        <v>26</v>
      </c>
      <c r="D41" s="3" t="s">
        <v>27</v>
      </c>
      <c r="E41" s="3" t="s">
        <v>28</v>
      </c>
      <c r="F41" s="3" t="s">
        <v>29</v>
      </c>
      <c r="G41" s="5" t="n">
        <v>1</v>
      </c>
      <c r="H41" s="6"/>
      <c r="I41" s="5" t="n">
        <v>5100</v>
      </c>
      <c r="J41" s="5" t="n">
        <v>0</v>
      </c>
      <c r="K41" s="5" t="n">
        <v>0</v>
      </c>
      <c r="L41" s="5" t="n">
        <f aca="false">I41*(1-J41/100)-K41</f>
        <v>5100</v>
      </c>
      <c r="M41" s="5" t="n">
        <f aca="false">G41*L41</f>
        <v>5100</v>
      </c>
      <c r="N41" s="5" t="n">
        <v>255</v>
      </c>
      <c r="O41" s="5" t="n">
        <v>0</v>
      </c>
      <c r="P41" s="5" t="n">
        <v>0</v>
      </c>
      <c r="Q41" s="5" t="n">
        <f aca="false">M41+N41+O41+P41</f>
        <v>5355</v>
      </c>
      <c r="R41" s="5" t="n">
        <v>8680</v>
      </c>
      <c r="S41" s="5" t="n">
        <v>5865</v>
      </c>
      <c r="T41" s="5" t="n">
        <v>6630</v>
      </c>
      <c r="U41" s="3"/>
      <c r="V41" s="3"/>
    </row>
    <row r="42" customFormat="false" ht="19.5" hidden="false" customHeight="true" outlineLevel="0" collapsed="false">
      <c r="A42" s="7" t="n">
        <v>40</v>
      </c>
      <c r="B42" s="7" t="s">
        <v>68</v>
      </c>
      <c r="C42" s="8" t="s">
        <v>26</v>
      </c>
      <c r="D42" s="7" t="s">
        <v>27</v>
      </c>
      <c r="E42" s="7" t="s">
        <v>28</v>
      </c>
      <c r="F42" s="7" t="s">
        <v>29</v>
      </c>
      <c r="G42" s="9" t="n">
        <v>1</v>
      </c>
      <c r="H42" s="10"/>
      <c r="I42" s="9" t="n">
        <v>5100</v>
      </c>
      <c r="J42" s="9" t="n">
        <v>0</v>
      </c>
      <c r="K42" s="9" t="n">
        <v>0</v>
      </c>
      <c r="L42" s="9" t="n">
        <f aca="false">I42*(1-J42/100)-K42</f>
        <v>5100</v>
      </c>
      <c r="M42" s="9" t="n">
        <f aca="false">G42*L42</f>
        <v>5100</v>
      </c>
      <c r="N42" s="9" t="n">
        <v>255</v>
      </c>
      <c r="O42" s="9" t="n">
        <v>0</v>
      </c>
      <c r="P42" s="9" t="n">
        <v>0</v>
      </c>
      <c r="Q42" s="9" t="n">
        <f aca="false">M42+N42+O42+P42</f>
        <v>5355</v>
      </c>
      <c r="R42" s="9" t="n">
        <v>8680</v>
      </c>
      <c r="S42" s="9" t="n">
        <v>5865</v>
      </c>
      <c r="T42" s="9" t="n">
        <v>6630</v>
      </c>
      <c r="U42" s="7"/>
      <c r="V42" s="7"/>
    </row>
    <row r="43" customFormat="false" ht="19.5" hidden="false" customHeight="true" outlineLevel="0" collapsed="false">
      <c r="A43" s="3" t="n">
        <v>41</v>
      </c>
      <c r="B43" s="3" t="s">
        <v>69</v>
      </c>
      <c r="C43" s="4" t="s">
        <v>26</v>
      </c>
      <c r="D43" s="3" t="s">
        <v>27</v>
      </c>
      <c r="E43" s="3" t="s">
        <v>28</v>
      </c>
      <c r="F43" s="3" t="s">
        <v>29</v>
      </c>
      <c r="G43" s="5" t="n">
        <v>1</v>
      </c>
      <c r="H43" s="6"/>
      <c r="I43" s="5" t="n">
        <v>5100</v>
      </c>
      <c r="J43" s="5" t="n">
        <v>0</v>
      </c>
      <c r="K43" s="5" t="n">
        <v>0</v>
      </c>
      <c r="L43" s="5" t="n">
        <f aca="false">I43*(1-J43/100)-K43</f>
        <v>5100</v>
      </c>
      <c r="M43" s="5" t="n">
        <f aca="false">G43*L43</f>
        <v>5100</v>
      </c>
      <c r="N43" s="5" t="n">
        <v>255</v>
      </c>
      <c r="O43" s="5" t="n">
        <v>0</v>
      </c>
      <c r="P43" s="5" t="n">
        <v>0</v>
      </c>
      <c r="Q43" s="5" t="n">
        <f aca="false">M43+N43+O43+P43</f>
        <v>5355</v>
      </c>
      <c r="R43" s="5" t="n">
        <v>8680</v>
      </c>
      <c r="S43" s="5" t="n">
        <v>5865</v>
      </c>
      <c r="T43" s="5" t="n">
        <v>6630</v>
      </c>
      <c r="U43" s="3"/>
      <c r="V43" s="3"/>
    </row>
    <row r="44" customFormat="false" ht="19.5" hidden="false" customHeight="true" outlineLevel="0" collapsed="false">
      <c r="A44" s="7" t="n">
        <v>42</v>
      </c>
      <c r="B44" s="7" t="s">
        <v>70</v>
      </c>
      <c r="C44" s="8" t="s">
        <v>26</v>
      </c>
      <c r="D44" s="7" t="s">
        <v>27</v>
      </c>
      <c r="E44" s="7" t="s">
        <v>28</v>
      </c>
      <c r="F44" s="7" t="s">
        <v>29</v>
      </c>
      <c r="G44" s="9" t="n">
        <v>1</v>
      </c>
      <c r="H44" s="10"/>
      <c r="I44" s="9" t="n">
        <v>5100</v>
      </c>
      <c r="J44" s="9" t="n">
        <v>0</v>
      </c>
      <c r="K44" s="9" t="n">
        <v>0</v>
      </c>
      <c r="L44" s="9" t="n">
        <f aca="false">I44*(1-J44/100)-K44</f>
        <v>5100</v>
      </c>
      <c r="M44" s="9" t="n">
        <f aca="false">G44*L44</f>
        <v>5100</v>
      </c>
      <c r="N44" s="9" t="n">
        <v>255</v>
      </c>
      <c r="O44" s="9" t="n">
        <v>0</v>
      </c>
      <c r="P44" s="9" t="n">
        <v>0</v>
      </c>
      <c r="Q44" s="9" t="n">
        <f aca="false">M44+N44+O44+P44</f>
        <v>5355</v>
      </c>
      <c r="R44" s="9" t="n">
        <v>8680</v>
      </c>
      <c r="S44" s="9" t="n">
        <v>5865</v>
      </c>
      <c r="T44" s="9" t="n">
        <v>6630</v>
      </c>
      <c r="U44" s="7"/>
      <c r="V44" s="7"/>
    </row>
    <row r="45" customFormat="false" ht="19.5" hidden="false" customHeight="true" outlineLevel="0" collapsed="false">
      <c r="A45" s="3" t="n">
        <v>43</v>
      </c>
      <c r="B45" s="3" t="s">
        <v>71</v>
      </c>
      <c r="C45" s="4" t="s">
        <v>26</v>
      </c>
      <c r="D45" s="3" t="s">
        <v>27</v>
      </c>
      <c r="E45" s="3" t="s">
        <v>28</v>
      </c>
      <c r="F45" s="3" t="s">
        <v>29</v>
      </c>
      <c r="G45" s="5" t="n">
        <v>1</v>
      </c>
      <c r="H45" s="6"/>
      <c r="I45" s="5" t="n">
        <v>5100</v>
      </c>
      <c r="J45" s="5" t="n">
        <v>0</v>
      </c>
      <c r="K45" s="5" t="n">
        <v>0</v>
      </c>
      <c r="L45" s="5" t="n">
        <f aca="false">I45*(1-J45/100)-K45</f>
        <v>5100</v>
      </c>
      <c r="M45" s="5" t="n">
        <f aca="false">G45*L45</f>
        <v>5100</v>
      </c>
      <c r="N45" s="5" t="n">
        <v>255</v>
      </c>
      <c r="O45" s="5" t="n">
        <v>0</v>
      </c>
      <c r="P45" s="5" t="n">
        <v>0</v>
      </c>
      <c r="Q45" s="5" t="n">
        <f aca="false">M45+N45+O45+P45</f>
        <v>5355</v>
      </c>
      <c r="R45" s="5" t="n">
        <v>8680</v>
      </c>
      <c r="S45" s="5" t="n">
        <v>5865</v>
      </c>
      <c r="T45" s="5" t="n">
        <v>6630</v>
      </c>
      <c r="U45" s="3"/>
      <c r="V45" s="3"/>
    </row>
    <row r="46" customFormat="false" ht="19.5" hidden="false" customHeight="true" outlineLevel="0" collapsed="false">
      <c r="A46" s="7" t="n">
        <v>44</v>
      </c>
      <c r="B46" s="7" t="s">
        <v>72</v>
      </c>
      <c r="C46" s="8" t="s">
        <v>26</v>
      </c>
      <c r="D46" s="7" t="s">
        <v>27</v>
      </c>
      <c r="E46" s="7" t="s">
        <v>28</v>
      </c>
      <c r="F46" s="7" t="s">
        <v>29</v>
      </c>
      <c r="G46" s="9" t="n">
        <v>1</v>
      </c>
      <c r="H46" s="10"/>
      <c r="I46" s="9" t="n">
        <v>5100</v>
      </c>
      <c r="J46" s="9" t="n">
        <v>0</v>
      </c>
      <c r="K46" s="9" t="n">
        <v>0</v>
      </c>
      <c r="L46" s="9" t="n">
        <f aca="false">I46*(1-J46/100)-K46</f>
        <v>5100</v>
      </c>
      <c r="M46" s="9" t="n">
        <f aca="false">G46*L46</f>
        <v>5100</v>
      </c>
      <c r="N46" s="9" t="n">
        <v>255</v>
      </c>
      <c r="O46" s="9" t="n">
        <v>0</v>
      </c>
      <c r="P46" s="9" t="n">
        <v>0</v>
      </c>
      <c r="Q46" s="9" t="n">
        <f aca="false">M46+N46+O46+P46</f>
        <v>5355</v>
      </c>
      <c r="R46" s="9" t="n">
        <v>8680</v>
      </c>
      <c r="S46" s="9" t="n">
        <v>5865</v>
      </c>
      <c r="T46" s="9" t="n">
        <v>6630</v>
      </c>
      <c r="U46" s="7"/>
      <c r="V46" s="7"/>
    </row>
    <row r="47" customFormat="false" ht="19.5" hidden="false" customHeight="true" outlineLevel="0" collapsed="false">
      <c r="A47" s="3" t="n">
        <v>45</v>
      </c>
      <c r="B47" s="3" t="s">
        <v>73</v>
      </c>
      <c r="C47" s="4" t="s">
        <v>26</v>
      </c>
      <c r="D47" s="3" t="s">
        <v>27</v>
      </c>
      <c r="E47" s="3" t="s">
        <v>28</v>
      </c>
      <c r="F47" s="3" t="s">
        <v>29</v>
      </c>
      <c r="G47" s="5" t="n">
        <v>1</v>
      </c>
      <c r="H47" s="6"/>
      <c r="I47" s="5" t="n">
        <v>4500</v>
      </c>
      <c r="J47" s="5" t="n">
        <v>0</v>
      </c>
      <c r="K47" s="5" t="n">
        <v>0</v>
      </c>
      <c r="L47" s="5" t="n">
        <f aca="false">I47*(1-J47/100)-K47</f>
        <v>4500</v>
      </c>
      <c r="M47" s="5" t="n">
        <f aca="false">G47*L47</f>
        <v>4500</v>
      </c>
      <c r="N47" s="5" t="n">
        <v>225</v>
      </c>
      <c r="O47" s="5" t="n">
        <v>0</v>
      </c>
      <c r="P47" s="5" t="n">
        <v>0</v>
      </c>
      <c r="Q47" s="5" t="n">
        <f aca="false">M47+N47+O47+P47</f>
        <v>4725</v>
      </c>
      <c r="R47" s="5" t="n">
        <v>7690</v>
      </c>
      <c r="S47" s="5" t="n">
        <v>5175</v>
      </c>
      <c r="T47" s="5" t="n">
        <v>5850</v>
      </c>
      <c r="U47" s="3"/>
      <c r="V47" s="3"/>
    </row>
    <row r="48" customFormat="false" ht="19.5" hidden="false" customHeight="true" outlineLevel="0" collapsed="false">
      <c r="A48" s="7" t="n">
        <v>46</v>
      </c>
      <c r="B48" s="7" t="s">
        <v>74</v>
      </c>
      <c r="C48" s="8" t="s">
        <v>26</v>
      </c>
      <c r="D48" s="7" t="s">
        <v>27</v>
      </c>
      <c r="E48" s="7" t="s">
        <v>28</v>
      </c>
      <c r="F48" s="7" t="s">
        <v>29</v>
      </c>
      <c r="G48" s="9" t="n">
        <v>1</v>
      </c>
      <c r="H48" s="10"/>
      <c r="I48" s="9" t="n">
        <v>4500</v>
      </c>
      <c r="J48" s="9" t="n">
        <v>0</v>
      </c>
      <c r="K48" s="9" t="n">
        <v>0</v>
      </c>
      <c r="L48" s="9" t="n">
        <f aca="false">I48*(1-J48/100)-K48</f>
        <v>4500</v>
      </c>
      <c r="M48" s="9" t="n">
        <f aca="false">G48*L48</f>
        <v>4500</v>
      </c>
      <c r="N48" s="9" t="n">
        <v>225</v>
      </c>
      <c r="O48" s="9" t="n">
        <v>0</v>
      </c>
      <c r="P48" s="9" t="n">
        <v>0</v>
      </c>
      <c r="Q48" s="9" t="n">
        <f aca="false">M48+N48+O48+P48</f>
        <v>4725</v>
      </c>
      <c r="R48" s="9" t="n">
        <v>7690</v>
      </c>
      <c r="S48" s="9" t="n">
        <v>5175</v>
      </c>
      <c r="T48" s="9" t="n">
        <v>5850</v>
      </c>
      <c r="U48" s="7"/>
      <c r="V48" s="7"/>
    </row>
    <row r="49" customFormat="false" ht="19.5" hidden="false" customHeight="true" outlineLevel="0" collapsed="false">
      <c r="A49" s="3" t="n">
        <v>47</v>
      </c>
      <c r="B49" s="3" t="s">
        <v>75</v>
      </c>
      <c r="C49" s="4" t="s">
        <v>26</v>
      </c>
      <c r="D49" s="3" t="s">
        <v>27</v>
      </c>
      <c r="E49" s="3" t="s">
        <v>28</v>
      </c>
      <c r="F49" s="3" t="s">
        <v>29</v>
      </c>
      <c r="G49" s="5" t="n">
        <v>1</v>
      </c>
      <c r="H49" s="6"/>
      <c r="I49" s="5" t="n">
        <v>4500</v>
      </c>
      <c r="J49" s="5" t="n">
        <v>0</v>
      </c>
      <c r="K49" s="5" t="n">
        <v>0</v>
      </c>
      <c r="L49" s="5" t="n">
        <f aca="false">I49*(1-J49/100)-K49</f>
        <v>4500</v>
      </c>
      <c r="M49" s="5" t="n">
        <f aca="false">G49*L49</f>
        <v>4500</v>
      </c>
      <c r="N49" s="5" t="n">
        <v>225</v>
      </c>
      <c r="O49" s="5" t="n">
        <v>0</v>
      </c>
      <c r="P49" s="5" t="n">
        <v>0</v>
      </c>
      <c r="Q49" s="5" t="n">
        <f aca="false">M49+N49+O49+P49</f>
        <v>4725</v>
      </c>
      <c r="R49" s="5" t="n">
        <v>7690</v>
      </c>
      <c r="S49" s="5" t="n">
        <v>5175</v>
      </c>
      <c r="T49" s="5" t="n">
        <v>5850</v>
      </c>
      <c r="U49" s="3"/>
      <c r="V49" s="3"/>
    </row>
    <row r="50" customFormat="false" ht="19.5" hidden="false" customHeight="true" outlineLevel="0" collapsed="false">
      <c r="A50" s="7" t="n">
        <v>48</v>
      </c>
      <c r="B50" s="7" t="s">
        <v>76</v>
      </c>
      <c r="C50" s="8" t="s">
        <v>26</v>
      </c>
      <c r="D50" s="7" t="s">
        <v>27</v>
      </c>
      <c r="E50" s="7" t="s">
        <v>28</v>
      </c>
      <c r="F50" s="7" t="s">
        <v>29</v>
      </c>
      <c r="G50" s="9" t="n">
        <v>1</v>
      </c>
      <c r="H50" s="10"/>
      <c r="I50" s="9" t="n">
        <v>4500</v>
      </c>
      <c r="J50" s="9" t="n">
        <v>0</v>
      </c>
      <c r="K50" s="9" t="n">
        <v>0</v>
      </c>
      <c r="L50" s="9" t="n">
        <f aca="false">I50*(1-J50/100)-K50</f>
        <v>4500</v>
      </c>
      <c r="M50" s="9" t="n">
        <f aca="false">G50*L50</f>
        <v>4500</v>
      </c>
      <c r="N50" s="9" t="n">
        <v>225</v>
      </c>
      <c r="O50" s="9" t="n">
        <v>0</v>
      </c>
      <c r="P50" s="9" t="n">
        <v>0</v>
      </c>
      <c r="Q50" s="9" t="n">
        <f aca="false">M50+N50+O50+P50</f>
        <v>4725</v>
      </c>
      <c r="R50" s="9" t="n">
        <v>7690</v>
      </c>
      <c r="S50" s="9" t="n">
        <v>5175</v>
      </c>
      <c r="T50" s="9" t="n">
        <v>5850</v>
      </c>
      <c r="U50" s="7"/>
      <c r="V50" s="7"/>
    </row>
    <row r="51" customFormat="false" ht="19.5" hidden="false" customHeight="true" outlineLevel="0" collapsed="false">
      <c r="A51" s="3" t="n">
        <v>49</v>
      </c>
      <c r="B51" s="3" t="s">
        <v>77</v>
      </c>
      <c r="C51" s="4" t="s">
        <v>26</v>
      </c>
      <c r="D51" s="3" t="s">
        <v>27</v>
      </c>
      <c r="E51" s="3" t="s">
        <v>28</v>
      </c>
      <c r="F51" s="3" t="s">
        <v>29</v>
      </c>
      <c r="G51" s="5" t="n">
        <v>1</v>
      </c>
      <c r="H51" s="6"/>
      <c r="I51" s="5" t="n">
        <v>4500</v>
      </c>
      <c r="J51" s="5" t="n">
        <v>0</v>
      </c>
      <c r="K51" s="5" t="n">
        <v>0</v>
      </c>
      <c r="L51" s="5" t="n">
        <f aca="false">I51*(1-J51/100)-K51</f>
        <v>4500</v>
      </c>
      <c r="M51" s="5" t="n">
        <f aca="false">G51*L51</f>
        <v>4500</v>
      </c>
      <c r="N51" s="5" t="n">
        <v>225</v>
      </c>
      <c r="O51" s="5" t="n">
        <v>0</v>
      </c>
      <c r="P51" s="5" t="n">
        <v>0</v>
      </c>
      <c r="Q51" s="5" t="n">
        <f aca="false">M51+N51+O51+P51</f>
        <v>4725</v>
      </c>
      <c r="R51" s="5" t="n">
        <v>7690</v>
      </c>
      <c r="S51" s="5" t="n">
        <v>5175</v>
      </c>
      <c r="T51" s="5" t="n">
        <v>5850</v>
      </c>
      <c r="U51" s="3"/>
      <c r="V51" s="3"/>
    </row>
    <row r="52" customFormat="false" ht="19.5" hidden="false" customHeight="true" outlineLevel="0" collapsed="false">
      <c r="A52" s="7" t="n">
        <v>50</v>
      </c>
      <c r="B52" s="7" t="s">
        <v>78</v>
      </c>
      <c r="C52" s="8" t="s">
        <v>26</v>
      </c>
      <c r="D52" s="7" t="s">
        <v>27</v>
      </c>
      <c r="E52" s="7" t="s">
        <v>28</v>
      </c>
      <c r="F52" s="7" t="s">
        <v>29</v>
      </c>
      <c r="G52" s="9" t="n">
        <v>1</v>
      </c>
      <c r="H52" s="10"/>
      <c r="I52" s="9" t="n">
        <v>4800</v>
      </c>
      <c r="J52" s="9" t="n">
        <v>0</v>
      </c>
      <c r="K52" s="9" t="n">
        <v>0</v>
      </c>
      <c r="L52" s="9" t="n">
        <f aca="false">I52*(1-J52/100)-K52</f>
        <v>4800</v>
      </c>
      <c r="M52" s="9" t="n">
        <f aca="false">G52*L52</f>
        <v>4800</v>
      </c>
      <c r="N52" s="9" t="n">
        <v>240</v>
      </c>
      <c r="O52" s="9" t="n">
        <v>0</v>
      </c>
      <c r="P52" s="9" t="n">
        <v>0</v>
      </c>
      <c r="Q52" s="9" t="n">
        <f aca="false">M52+N52+O52+P52</f>
        <v>5040</v>
      </c>
      <c r="R52" s="9" t="n">
        <v>7980</v>
      </c>
      <c r="S52" s="9" t="n">
        <v>5520</v>
      </c>
      <c r="T52" s="9" t="n">
        <v>6240</v>
      </c>
      <c r="U52" s="7"/>
      <c r="V52" s="7"/>
    </row>
    <row r="53" customFormat="false" ht="19.5" hidden="false" customHeight="true" outlineLevel="0" collapsed="false">
      <c r="A53" s="3" t="n">
        <v>51</v>
      </c>
      <c r="B53" s="3" t="s">
        <v>79</v>
      </c>
      <c r="C53" s="4" t="s">
        <v>26</v>
      </c>
      <c r="D53" s="3" t="s">
        <v>27</v>
      </c>
      <c r="E53" s="3" t="s">
        <v>28</v>
      </c>
      <c r="F53" s="3" t="s">
        <v>29</v>
      </c>
      <c r="G53" s="5" t="n">
        <v>1</v>
      </c>
      <c r="H53" s="6"/>
      <c r="I53" s="5" t="n">
        <v>4800</v>
      </c>
      <c r="J53" s="5" t="n">
        <v>0</v>
      </c>
      <c r="K53" s="5" t="n">
        <v>0</v>
      </c>
      <c r="L53" s="5" t="n">
        <f aca="false">I53*(1-J53/100)-K53</f>
        <v>4800</v>
      </c>
      <c r="M53" s="5" t="n">
        <f aca="false">G53*L53</f>
        <v>4800</v>
      </c>
      <c r="N53" s="5" t="n">
        <v>240</v>
      </c>
      <c r="O53" s="5" t="n">
        <v>0</v>
      </c>
      <c r="P53" s="5" t="n">
        <v>0</v>
      </c>
      <c r="Q53" s="5" t="n">
        <f aca="false">M53+N53+O53+P53</f>
        <v>5040</v>
      </c>
      <c r="R53" s="5" t="n">
        <v>7980</v>
      </c>
      <c r="S53" s="5" t="n">
        <v>5520</v>
      </c>
      <c r="T53" s="5" t="n">
        <v>6240</v>
      </c>
      <c r="U53" s="3"/>
      <c r="V53" s="3"/>
    </row>
    <row r="54" customFormat="false" ht="19.5" hidden="false" customHeight="true" outlineLevel="0" collapsed="false">
      <c r="A54" s="7" t="n">
        <v>52</v>
      </c>
      <c r="B54" s="7" t="s">
        <v>80</v>
      </c>
      <c r="C54" s="8" t="s">
        <v>26</v>
      </c>
      <c r="D54" s="7" t="s">
        <v>27</v>
      </c>
      <c r="E54" s="7" t="s">
        <v>28</v>
      </c>
      <c r="F54" s="7" t="s">
        <v>29</v>
      </c>
      <c r="G54" s="9" t="n">
        <v>1</v>
      </c>
      <c r="H54" s="10"/>
      <c r="I54" s="9" t="n">
        <v>4800</v>
      </c>
      <c r="J54" s="9" t="n">
        <v>0</v>
      </c>
      <c r="K54" s="9" t="n">
        <v>0</v>
      </c>
      <c r="L54" s="9" t="n">
        <f aca="false">I54*(1-J54/100)-K54</f>
        <v>4800</v>
      </c>
      <c r="M54" s="9" t="n">
        <f aca="false">G54*L54</f>
        <v>4800</v>
      </c>
      <c r="N54" s="9" t="n">
        <v>240</v>
      </c>
      <c r="O54" s="9" t="n">
        <v>0</v>
      </c>
      <c r="P54" s="9" t="n">
        <v>0</v>
      </c>
      <c r="Q54" s="9" t="n">
        <f aca="false">M54+N54+O54+P54</f>
        <v>5040</v>
      </c>
      <c r="R54" s="9" t="n">
        <v>7980</v>
      </c>
      <c r="S54" s="9" t="n">
        <v>5520</v>
      </c>
      <c r="T54" s="9" t="n">
        <v>6240</v>
      </c>
      <c r="U54" s="7"/>
      <c r="V54" s="7"/>
    </row>
    <row r="55" customFormat="false" ht="19.5" hidden="false" customHeight="true" outlineLevel="0" collapsed="false">
      <c r="A55" s="3" t="n">
        <v>53</v>
      </c>
      <c r="B55" s="3" t="s">
        <v>81</v>
      </c>
      <c r="C55" s="4" t="s">
        <v>26</v>
      </c>
      <c r="D55" s="3" t="s">
        <v>27</v>
      </c>
      <c r="E55" s="3" t="s">
        <v>28</v>
      </c>
      <c r="F55" s="3" t="s">
        <v>29</v>
      </c>
      <c r="G55" s="5" t="n">
        <v>1</v>
      </c>
      <c r="H55" s="6"/>
      <c r="I55" s="5" t="n">
        <v>4800</v>
      </c>
      <c r="J55" s="5" t="n">
        <v>0</v>
      </c>
      <c r="K55" s="5" t="n">
        <v>0</v>
      </c>
      <c r="L55" s="5" t="n">
        <f aca="false">I55*(1-J55/100)-K55</f>
        <v>4800</v>
      </c>
      <c r="M55" s="5" t="n">
        <f aca="false">G55*L55</f>
        <v>4800</v>
      </c>
      <c r="N55" s="5" t="n">
        <v>240</v>
      </c>
      <c r="O55" s="5" t="n">
        <v>0</v>
      </c>
      <c r="P55" s="5" t="n">
        <v>0</v>
      </c>
      <c r="Q55" s="5" t="n">
        <f aca="false">M55+N55+O55+P55</f>
        <v>5040</v>
      </c>
      <c r="R55" s="5" t="n">
        <v>7980</v>
      </c>
      <c r="S55" s="5" t="n">
        <v>5520</v>
      </c>
      <c r="T55" s="5" t="n">
        <v>6240</v>
      </c>
      <c r="U55" s="3"/>
      <c r="V55" s="3"/>
    </row>
    <row r="56" customFormat="false" ht="19.5" hidden="false" customHeight="true" outlineLevel="0" collapsed="false">
      <c r="A56" s="7" t="n">
        <v>54</v>
      </c>
      <c r="B56" s="7" t="s">
        <v>82</v>
      </c>
      <c r="C56" s="8" t="s">
        <v>26</v>
      </c>
      <c r="D56" s="7" t="s">
        <v>27</v>
      </c>
      <c r="E56" s="7" t="s">
        <v>28</v>
      </c>
      <c r="F56" s="7" t="s">
        <v>29</v>
      </c>
      <c r="G56" s="9" t="n">
        <v>1</v>
      </c>
      <c r="H56" s="10"/>
      <c r="I56" s="9" t="n">
        <v>4800</v>
      </c>
      <c r="J56" s="9" t="n">
        <v>0</v>
      </c>
      <c r="K56" s="9" t="n">
        <v>0</v>
      </c>
      <c r="L56" s="9" t="n">
        <f aca="false">I56*(1-J56/100)-K56</f>
        <v>4800</v>
      </c>
      <c r="M56" s="9" t="n">
        <f aca="false">G56*L56</f>
        <v>4800</v>
      </c>
      <c r="N56" s="9" t="n">
        <v>240</v>
      </c>
      <c r="O56" s="9" t="n">
        <v>0</v>
      </c>
      <c r="P56" s="9" t="n">
        <v>0</v>
      </c>
      <c r="Q56" s="9" t="n">
        <f aca="false">M56+N56+O56+P56</f>
        <v>5040</v>
      </c>
      <c r="R56" s="9" t="n">
        <v>7980</v>
      </c>
      <c r="S56" s="9" t="n">
        <v>5520</v>
      </c>
      <c r="T56" s="9" t="n">
        <v>6240</v>
      </c>
      <c r="U56" s="7"/>
      <c r="V56" s="7"/>
    </row>
    <row r="57" customFormat="false" ht="19.5" hidden="false" customHeight="true" outlineLevel="0" collapsed="false">
      <c r="A57" s="3" t="n">
        <v>55</v>
      </c>
      <c r="B57" s="3" t="s">
        <v>83</v>
      </c>
      <c r="C57" s="4" t="s">
        <v>26</v>
      </c>
      <c r="D57" s="3" t="s">
        <v>27</v>
      </c>
      <c r="E57" s="3" t="s">
        <v>28</v>
      </c>
      <c r="F57" s="3" t="s">
        <v>29</v>
      </c>
      <c r="G57" s="5" t="n">
        <v>1</v>
      </c>
      <c r="H57" s="6"/>
      <c r="I57" s="5" t="n">
        <v>4800</v>
      </c>
      <c r="J57" s="5" t="n">
        <v>0</v>
      </c>
      <c r="K57" s="5" t="n">
        <v>0</v>
      </c>
      <c r="L57" s="5" t="n">
        <f aca="false">I57*(1-J57/100)-K57</f>
        <v>4800</v>
      </c>
      <c r="M57" s="5" t="n">
        <f aca="false">G57*L57</f>
        <v>4800</v>
      </c>
      <c r="N57" s="5" t="n">
        <v>240</v>
      </c>
      <c r="O57" s="5" t="n">
        <v>0</v>
      </c>
      <c r="P57" s="5" t="n">
        <v>0</v>
      </c>
      <c r="Q57" s="5" t="n">
        <f aca="false">M57+N57+O57+P57</f>
        <v>5040</v>
      </c>
      <c r="R57" s="5" t="n">
        <v>7980</v>
      </c>
      <c r="S57" s="5" t="n">
        <v>5520</v>
      </c>
      <c r="T57" s="5" t="n">
        <v>6240</v>
      </c>
      <c r="U57" s="3"/>
      <c r="V57" s="3"/>
    </row>
    <row r="58" customFormat="false" ht="19.5" hidden="false" customHeight="true" outlineLevel="0" collapsed="false">
      <c r="A58" s="7" t="n">
        <v>56</v>
      </c>
      <c r="B58" s="7" t="s">
        <v>84</v>
      </c>
      <c r="C58" s="8" t="s">
        <v>26</v>
      </c>
      <c r="D58" s="7" t="s">
        <v>27</v>
      </c>
      <c r="E58" s="7" t="s">
        <v>28</v>
      </c>
      <c r="F58" s="7" t="s">
        <v>29</v>
      </c>
      <c r="G58" s="9" t="n">
        <v>1</v>
      </c>
      <c r="H58" s="10"/>
      <c r="I58" s="9" t="n">
        <v>4800</v>
      </c>
      <c r="J58" s="9" t="n">
        <v>0</v>
      </c>
      <c r="K58" s="9" t="n">
        <v>0</v>
      </c>
      <c r="L58" s="9" t="n">
        <f aca="false">I58*(1-J58/100)-K58</f>
        <v>4800</v>
      </c>
      <c r="M58" s="9" t="n">
        <f aca="false">G58*L58</f>
        <v>4800</v>
      </c>
      <c r="N58" s="9" t="n">
        <v>240</v>
      </c>
      <c r="O58" s="9" t="n">
        <v>0</v>
      </c>
      <c r="P58" s="9" t="n">
        <v>0</v>
      </c>
      <c r="Q58" s="9" t="n">
        <f aca="false">M58+N58+O58+P58</f>
        <v>5040</v>
      </c>
      <c r="R58" s="9" t="n">
        <v>7980</v>
      </c>
      <c r="S58" s="9" t="n">
        <v>5520</v>
      </c>
      <c r="T58" s="9" t="n">
        <v>6240</v>
      </c>
      <c r="U58" s="7"/>
      <c r="V58" s="7"/>
    </row>
    <row r="59" customFormat="false" ht="19.5" hidden="false" customHeight="true" outlineLevel="0" collapsed="false">
      <c r="A59" s="3" t="n">
        <v>57</v>
      </c>
      <c r="B59" s="3" t="s">
        <v>85</v>
      </c>
      <c r="C59" s="4" t="s">
        <v>26</v>
      </c>
      <c r="D59" s="3" t="s">
        <v>27</v>
      </c>
      <c r="E59" s="3" t="s">
        <v>28</v>
      </c>
      <c r="F59" s="3" t="s">
        <v>29</v>
      </c>
      <c r="G59" s="5" t="n">
        <v>1</v>
      </c>
      <c r="H59" s="6"/>
      <c r="I59" s="5" t="n">
        <v>4800</v>
      </c>
      <c r="J59" s="5" t="n">
        <v>0</v>
      </c>
      <c r="K59" s="5" t="n">
        <v>0</v>
      </c>
      <c r="L59" s="5" t="n">
        <f aca="false">I59*(1-J59/100)-K59</f>
        <v>4800</v>
      </c>
      <c r="M59" s="5" t="n">
        <f aca="false">G59*L59</f>
        <v>4800</v>
      </c>
      <c r="N59" s="5" t="n">
        <v>240</v>
      </c>
      <c r="O59" s="5" t="n">
        <v>0</v>
      </c>
      <c r="P59" s="5" t="n">
        <v>0</v>
      </c>
      <c r="Q59" s="5" t="n">
        <f aca="false">M59+N59+O59+P59</f>
        <v>5040</v>
      </c>
      <c r="R59" s="5" t="n">
        <v>7980</v>
      </c>
      <c r="S59" s="5" t="n">
        <v>5520</v>
      </c>
      <c r="T59" s="5" t="n">
        <v>6240</v>
      </c>
      <c r="U59" s="3"/>
      <c r="V59" s="3"/>
    </row>
    <row r="60" customFormat="false" ht="19.5" hidden="false" customHeight="true" outlineLevel="0" collapsed="false">
      <c r="A60" s="7" t="n">
        <v>58</v>
      </c>
      <c r="B60" s="7" t="s">
        <v>86</v>
      </c>
      <c r="C60" s="8" t="s">
        <v>26</v>
      </c>
      <c r="D60" s="7" t="s">
        <v>27</v>
      </c>
      <c r="E60" s="7" t="s">
        <v>28</v>
      </c>
      <c r="F60" s="7" t="s">
        <v>29</v>
      </c>
      <c r="G60" s="9" t="n">
        <v>1</v>
      </c>
      <c r="H60" s="10"/>
      <c r="I60" s="9" t="n">
        <v>4800</v>
      </c>
      <c r="J60" s="9" t="n">
        <v>0</v>
      </c>
      <c r="K60" s="9" t="n">
        <v>0</v>
      </c>
      <c r="L60" s="9" t="n">
        <f aca="false">I60*(1-J60/100)-K60</f>
        <v>4800</v>
      </c>
      <c r="M60" s="9" t="n">
        <f aca="false">G60*L60</f>
        <v>4800</v>
      </c>
      <c r="N60" s="9" t="n">
        <v>240</v>
      </c>
      <c r="O60" s="9" t="n">
        <v>0</v>
      </c>
      <c r="P60" s="9" t="n">
        <v>0</v>
      </c>
      <c r="Q60" s="9" t="n">
        <f aca="false">M60+N60+O60+P60</f>
        <v>5040</v>
      </c>
      <c r="R60" s="9" t="n">
        <v>7980</v>
      </c>
      <c r="S60" s="9" t="n">
        <v>5520</v>
      </c>
      <c r="T60" s="9" t="n">
        <v>6240</v>
      </c>
      <c r="U60" s="7"/>
      <c r="V60" s="7"/>
    </row>
    <row r="61" customFormat="false" ht="19.5" hidden="false" customHeight="true" outlineLevel="0" collapsed="false">
      <c r="A61" s="3" t="n">
        <v>59</v>
      </c>
      <c r="B61" s="3" t="s">
        <v>87</v>
      </c>
      <c r="C61" s="4" t="s">
        <v>26</v>
      </c>
      <c r="D61" s="3" t="s">
        <v>27</v>
      </c>
      <c r="E61" s="3" t="s">
        <v>28</v>
      </c>
      <c r="F61" s="3" t="s">
        <v>29</v>
      </c>
      <c r="G61" s="5" t="n">
        <v>1</v>
      </c>
      <c r="H61" s="6"/>
      <c r="I61" s="5" t="n">
        <v>4800</v>
      </c>
      <c r="J61" s="5" t="n">
        <v>0</v>
      </c>
      <c r="K61" s="5" t="n">
        <v>0</v>
      </c>
      <c r="L61" s="5" t="n">
        <f aca="false">I61*(1-J61/100)-K61</f>
        <v>4800</v>
      </c>
      <c r="M61" s="5" t="n">
        <f aca="false">G61*L61</f>
        <v>4800</v>
      </c>
      <c r="N61" s="5" t="n">
        <v>240</v>
      </c>
      <c r="O61" s="5" t="n">
        <v>0</v>
      </c>
      <c r="P61" s="5" t="n">
        <v>0</v>
      </c>
      <c r="Q61" s="5" t="n">
        <f aca="false">M61+N61+O61+P61</f>
        <v>5040</v>
      </c>
      <c r="R61" s="5" t="n">
        <v>7980</v>
      </c>
      <c r="S61" s="5" t="n">
        <v>5520</v>
      </c>
      <c r="T61" s="5" t="n">
        <v>6240</v>
      </c>
      <c r="U61" s="3"/>
      <c r="V61" s="3"/>
    </row>
    <row r="62" customFormat="false" ht="19.5" hidden="false" customHeight="true" outlineLevel="0" collapsed="false">
      <c r="A62" s="7" t="n">
        <v>60</v>
      </c>
      <c r="B62" s="7" t="s">
        <v>88</v>
      </c>
      <c r="C62" s="8" t="s">
        <v>26</v>
      </c>
      <c r="D62" s="7" t="s">
        <v>27</v>
      </c>
      <c r="E62" s="7" t="s">
        <v>28</v>
      </c>
      <c r="F62" s="7" t="s">
        <v>29</v>
      </c>
      <c r="G62" s="9" t="n">
        <v>1</v>
      </c>
      <c r="H62" s="10"/>
      <c r="I62" s="9" t="n">
        <v>4800</v>
      </c>
      <c r="J62" s="9" t="n">
        <v>0</v>
      </c>
      <c r="K62" s="9" t="n">
        <v>0</v>
      </c>
      <c r="L62" s="9" t="n">
        <f aca="false">I62*(1-J62/100)-K62</f>
        <v>4800</v>
      </c>
      <c r="M62" s="9" t="n">
        <f aca="false">G62*L62</f>
        <v>4800</v>
      </c>
      <c r="N62" s="9" t="n">
        <v>240</v>
      </c>
      <c r="O62" s="9" t="n">
        <v>0</v>
      </c>
      <c r="P62" s="9" t="n">
        <v>0</v>
      </c>
      <c r="Q62" s="9" t="n">
        <f aca="false">M62+N62+O62+P62</f>
        <v>5040</v>
      </c>
      <c r="R62" s="9" t="n">
        <v>7980</v>
      </c>
      <c r="S62" s="9" t="n">
        <v>5520</v>
      </c>
      <c r="T62" s="9" t="n">
        <v>6240</v>
      </c>
      <c r="U62" s="7"/>
      <c r="V62" s="7"/>
    </row>
    <row r="63" customFormat="false" ht="19.5" hidden="false" customHeight="true" outlineLevel="0" collapsed="false">
      <c r="A63" s="3" t="n">
        <v>61</v>
      </c>
      <c r="B63" s="3" t="s">
        <v>89</v>
      </c>
      <c r="C63" s="4" t="s">
        <v>26</v>
      </c>
      <c r="D63" s="3" t="s">
        <v>27</v>
      </c>
      <c r="E63" s="3" t="s">
        <v>28</v>
      </c>
      <c r="F63" s="3" t="s">
        <v>29</v>
      </c>
      <c r="G63" s="5" t="n">
        <v>1</v>
      </c>
      <c r="H63" s="6"/>
      <c r="I63" s="5" t="n">
        <v>4800</v>
      </c>
      <c r="J63" s="5" t="n">
        <v>0</v>
      </c>
      <c r="K63" s="5" t="n">
        <v>0</v>
      </c>
      <c r="L63" s="5" t="n">
        <f aca="false">I63*(1-J63/100)-K63</f>
        <v>4800</v>
      </c>
      <c r="M63" s="5" t="n">
        <f aca="false">G63*L63</f>
        <v>4800</v>
      </c>
      <c r="N63" s="5" t="n">
        <v>240</v>
      </c>
      <c r="O63" s="5" t="n">
        <v>0</v>
      </c>
      <c r="P63" s="5" t="n">
        <v>0</v>
      </c>
      <c r="Q63" s="5" t="n">
        <f aca="false">M63+N63+O63+P63</f>
        <v>5040</v>
      </c>
      <c r="R63" s="5" t="n">
        <v>7980</v>
      </c>
      <c r="S63" s="5" t="n">
        <v>5520</v>
      </c>
      <c r="T63" s="5" t="n">
        <v>6240</v>
      </c>
      <c r="U63" s="3"/>
      <c r="V63" s="3"/>
    </row>
    <row r="64" customFormat="false" ht="19.5" hidden="false" customHeight="true" outlineLevel="0" collapsed="false">
      <c r="A64" s="7" t="n">
        <v>62</v>
      </c>
      <c r="B64" s="7" t="s">
        <v>90</v>
      </c>
      <c r="C64" s="8" t="s">
        <v>26</v>
      </c>
      <c r="D64" s="7" t="s">
        <v>27</v>
      </c>
      <c r="E64" s="7" t="s">
        <v>28</v>
      </c>
      <c r="F64" s="7" t="s">
        <v>29</v>
      </c>
      <c r="G64" s="9" t="n">
        <v>1</v>
      </c>
      <c r="H64" s="10"/>
      <c r="I64" s="9" t="n">
        <v>5500</v>
      </c>
      <c r="J64" s="9" t="n">
        <v>0</v>
      </c>
      <c r="K64" s="9" t="n">
        <v>0</v>
      </c>
      <c r="L64" s="9" t="n">
        <f aca="false">I64*(1-J64/100)-K64</f>
        <v>5500</v>
      </c>
      <c r="M64" s="9" t="n">
        <f aca="false">G64*L64</f>
        <v>5500</v>
      </c>
      <c r="N64" s="9" t="n">
        <v>275</v>
      </c>
      <c r="O64" s="9" t="n">
        <v>0</v>
      </c>
      <c r="P64" s="9" t="n">
        <v>0</v>
      </c>
      <c r="Q64" s="9" t="n">
        <f aca="false">M64+N64+O64+P64</f>
        <v>5775</v>
      </c>
      <c r="R64" s="9" t="n">
        <v>9250</v>
      </c>
      <c r="S64" s="9" t="n">
        <v>6325</v>
      </c>
      <c r="T64" s="9" t="n">
        <v>7150</v>
      </c>
      <c r="U64" s="7"/>
      <c r="V64" s="7"/>
    </row>
    <row r="65" customFormat="false" ht="19.5" hidden="false" customHeight="true" outlineLevel="0" collapsed="false">
      <c r="A65" s="3" t="n">
        <v>63</v>
      </c>
      <c r="B65" s="3" t="s">
        <v>91</v>
      </c>
      <c r="C65" s="4" t="s">
        <v>26</v>
      </c>
      <c r="D65" s="3" t="s">
        <v>27</v>
      </c>
      <c r="E65" s="3" t="s">
        <v>28</v>
      </c>
      <c r="F65" s="3" t="s">
        <v>29</v>
      </c>
      <c r="G65" s="5" t="n">
        <v>1</v>
      </c>
      <c r="H65" s="6"/>
      <c r="I65" s="5" t="n">
        <v>5500</v>
      </c>
      <c r="J65" s="5" t="n">
        <v>0</v>
      </c>
      <c r="K65" s="5" t="n">
        <v>0</v>
      </c>
      <c r="L65" s="5" t="n">
        <f aca="false">I65*(1-J65/100)-K65</f>
        <v>5500</v>
      </c>
      <c r="M65" s="5" t="n">
        <f aca="false">G65*L65</f>
        <v>5500</v>
      </c>
      <c r="N65" s="5" t="n">
        <v>275</v>
      </c>
      <c r="O65" s="5" t="n">
        <v>0</v>
      </c>
      <c r="P65" s="5" t="n">
        <v>0</v>
      </c>
      <c r="Q65" s="5" t="n">
        <f aca="false">M65+N65+O65+P65</f>
        <v>5775</v>
      </c>
      <c r="R65" s="5" t="n">
        <v>9250</v>
      </c>
      <c r="S65" s="5" t="n">
        <v>6325</v>
      </c>
      <c r="T65" s="5" t="n">
        <v>7150</v>
      </c>
      <c r="U65" s="3"/>
      <c r="V65" s="3"/>
    </row>
    <row r="66" customFormat="false" ht="19.5" hidden="false" customHeight="true" outlineLevel="0" collapsed="false">
      <c r="A66" s="7" t="n">
        <v>64</v>
      </c>
      <c r="B66" s="7" t="s">
        <v>92</v>
      </c>
      <c r="C66" s="8" t="s">
        <v>26</v>
      </c>
      <c r="D66" s="7" t="s">
        <v>27</v>
      </c>
      <c r="E66" s="7" t="s">
        <v>28</v>
      </c>
      <c r="F66" s="7" t="s">
        <v>29</v>
      </c>
      <c r="G66" s="9" t="n">
        <v>1</v>
      </c>
      <c r="H66" s="10"/>
      <c r="I66" s="9" t="n">
        <v>5500</v>
      </c>
      <c r="J66" s="9" t="n">
        <v>0</v>
      </c>
      <c r="K66" s="9" t="n">
        <v>0</v>
      </c>
      <c r="L66" s="9" t="n">
        <f aca="false">I66*(1-J66/100)-K66</f>
        <v>5500</v>
      </c>
      <c r="M66" s="9" t="n">
        <f aca="false">G66*L66</f>
        <v>5500</v>
      </c>
      <c r="N66" s="9" t="n">
        <v>275</v>
      </c>
      <c r="O66" s="9" t="n">
        <v>0</v>
      </c>
      <c r="P66" s="9" t="n">
        <v>0</v>
      </c>
      <c r="Q66" s="9" t="n">
        <f aca="false">M66+N66+O66+P66</f>
        <v>5775</v>
      </c>
      <c r="R66" s="9" t="n">
        <v>9250</v>
      </c>
      <c r="S66" s="9" t="n">
        <v>6325</v>
      </c>
      <c r="T66" s="9" t="n">
        <v>7150</v>
      </c>
      <c r="U66" s="7"/>
      <c r="V66" s="7"/>
    </row>
    <row r="67" customFormat="false" ht="19.5" hidden="false" customHeight="true" outlineLevel="0" collapsed="false">
      <c r="A67" s="3" t="n">
        <v>65</v>
      </c>
      <c r="B67" s="3" t="s">
        <v>93</v>
      </c>
      <c r="C67" s="4" t="s">
        <v>26</v>
      </c>
      <c r="D67" s="3" t="s">
        <v>27</v>
      </c>
      <c r="E67" s="3" t="s">
        <v>28</v>
      </c>
      <c r="F67" s="3" t="s">
        <v>29</v>
      </c>
      <c r="G67" s="5" t="n">
        <v>1</v>
      </c>
      <c r="H67" s="6"/>
      <c r="I67" s="5" t="n">
        <v>5500</v>
      </c>
      <c r="J67" s="5" t="n">
        <v>0</v>
      </c>
      <c r="K67" s="5" t="n">
        <v>0</v>
      </c>
      <c r="L67" s="5" t="n">
        <f aca="false">I67*(1-J67/100)-K67</f>
        <v>5500</v>
      </c>
      <c r="M67" s="5" t="n">
        <f aca="false">G67*L67</f>
        <v>5500</v>
      </c>
      <c r="N67" s="5" t="n">
        <v>275</v>
      </c>
      <c r="O67" s="5" t="n">
        <v>0</v>
      </c>
      <c r="P67" s="5" t="n">
        <v>0</v>
      </c>
      <c r="Q67" s="5" t="n">
        <f aca="false">M67+N67+O67+P67</f>
        <v>5775</v>
      </c>
      <c r="R67" s="5" t="n">
        <v>9250</v>
      </c>
      <c r="S67" s="5" t="n">
        <v>6325</v>
      </c>
      <c r="T67" s="5" t="n">
        <v>7150</v>
      </c>
      <c r="U67" s="3"/>
      <c r="V67" s="3"/>
    </row>
    <row r="68" customFormat="false" ht="19.5" hidden="false" customHeight="true" outlineLevel="0" collapsed="false">
      <c r="A68" s="7" t="n">
        <v>66</v>
      </c>
      <c r="B68" s="7" t="s">
        <v>94</v>
      </c>
      <c r="C68" s="8" t="s">
        <v>26</v>
      </c>
      <c r="D68" s="7" t="s">
        <v>27</v>
      </c>
      <c r="E68" s="7" t="s">
        <v>28</v>
      </c>
      <c r="F68" s="7" t="s">
        <v>29</v>
      </c>
      <c r="G68" s="9" t="n">
        <v>1</v>
      </c>
      <c r="H68" s="10"/>
      <c r="I68" s="9" t="n">
        <v>5500</v>
      </c>
      <c r="J68" s="9" t="n">
        <v>0</v>
      </c>
      <c r="K68" s="9" t="n">
        <v>0</v>
      </c>
      <c r="L68" s="9" t="n">
        <f aca="false">I68*(1-J68/100)-K68</f>
        <v>5500</v>
      </c>
      <c r="M68" s="9" t="n">
        <f aca="false">G68*L68</f>
        <v>5500</v>
      </c>
      <c r="N68" s="9" t="n">
        <v>275</v>
      </c>
      <c r="O68" s="9" t="n">
        <v>0</v>
      </c>
      <c r="P68" s="9" t="n">
        <v>0</v>
      </c>
      <c r="Q68" s="9" t="n">
        <f aca="false">M68+N68+O68+P68</f>
        <v>5775</v>
      </c>
      <c r="R68" s="9" t="n">
        <v>9250</v>
      </c>
      <c r="S68" s="9" t="n">
        <v>6325</v>
      </c>
      <c r="T68" s="9" t="n">
        <v>7150</v>
      </c>
      <c r="U68" s="7"/>
      <c r="V68" s="7"/>
    </row>
    <row r="69" customFormat="false" ht="19.5" hidden="false" customHeight="true" outlineLevel="0" collapsed="false">
      <c r="A69" s="3" t="n">
        <v>67</v>
      </c>
      <c r="B69" s="3" t="s">
        <v>95</v>
      </c>
      <c r="C69" s="4" t="s">
        <v>26</v>
      </c>
      <c r="D69" s="3" t="s">
        <v>27</v>
      </c>
      <c r="E69" s="3" t="s">
        <v>28</v>
      </c>
      <c r="F69" s="3" t="s">
        <v>29</v>
      </c>
      <c r="G69" s="5" t="n">
        <v>1</v>
      </c>
      <c r="H69" s="6"/>
      <c r="I69" s="5" t="n">
        <v>5500</v>
      </c>
      <c r="J69" s="5" t="n">
        <v>0</v>
      </c>
      <c r="K69" s="5" t="n">
        <v>0</v>
      </c>
      <c r="L69" s="5" t="n">
        <f aca="false">I69*(1-J69/100)-K69</f>
        <v>5500</v>
      </c>
      <c r="M69" s="5" t="n">
        <f aca="false">G69*L69</f>
        <v>5500</v>
      </c>
      <c r="N69" s="5" t="n">
        <v>275</v>
      </c>
      <c r="O69" s="5" t="n">
        <v>0</v>
      </c>
      <c r="P69" s="5" t="n">
        <v>0</v>
      </c>
      <c r="Q69" s="5" t="n">
        <f aca="false">M69+N69+O69+P69</f>
        <v>5775</v>
      </c>
      <c r="R69" s="5" t="n">
        <v>9250</v>
      </c>
      <c r="S69" s="5" t="n">
        <v>6325</v>
      </c>
      <c r="T69" s="5" t="n">
        <v>7150</v>
      </c>
      <c r="U69" s="3"/>
      <c r="V69" s="3"/>
    </row>
    <row r="70" customFormat="false" ht="19.5" hidden="false" customHeight="true" outlineLevel="0" collapsed="false">
      <c r="A70" s="7" t="n">
        <v>68</v>
      </c>
      <c r="B70" s="7" t="s">
        <v>96</v>
      </c>
      <c r="C70" s="8" t="s">
        <v>26</v>
      </c>
      <c r="D70" s="7" t="s">
        <v>27</v>
      </c>
      <c r="E70" s="7" t="s">
        <v>28</v>
      </c>
      <c r="F70" s="7" t="s">
        <v>29</v>
      </c>
      <c r="G70" s="9" t="n">
        <v>1</v>
      </c>
      <c r="H70" s="10"/>
      <c r="I70" s="9" t="n">
        <v>5500</v>
      </c>
      <c r="J70" s="9" t="n">
        <v>0</v>
      </c>
      <c r="K70" s="9" t="n">
        <v>0</v>
      </c>
      <c r="L70" s="9" t="n">
        <f aca="false">I70*(1-J70/100)-K70</f>
        <v>5500</v>
      </c>
      <c r="M70" s="9" t="n">
        <f aca="false">G70*L70</f>
        <v>5500</v>
      </c>
      <c r="N70" s="9" t="n">
        <v>275</v>
      </c>
      <c r="O70" s="9" t="n">
        <v>0</v>
      </c>
      <c r="P70" s="9" t="n">
        <v>0</v>
      </c>
      <c r="Q70" s="9" t="n">
        <f aca="false">M70+N70+O70+P70</f>
        <v>5775</v>
      </c>
      <c r="R70" s="9" t="n">
        <v>9250</v>
      </c>
      <c r="S70" s="9" t="n">
        <v>6325</v>
      </c>
      <c r="T70" s="9" t="n">
        <v>7150</v>
      </c>
      <c r="U70" s="7"/>
      <c r="V70" s="7"/>
    </row>
    <row r="71" customFormat="false" ht="19.5" hidden="false" customHeight="true" outlineLevel="0" collapsed="false">
      <c r="A71" s="3" t="n">
        <v>69</v>
      </c>
      <c r="B71" s="3" t="s">
        <v>97</v>
      </c>
      <c r="C71" s="4" t="s">
        <v>26</v>
      </c>
      <c r="D71" s="3" t="s">
        <v>27</v>
      </c>
      <c r="E71" s="3" t="s">
        <v>28</v>
      </c>
      <c r="F71" s="3" t="s">
        <v>29</v>
      </c>
      <c r="G71" s="5" t="n">
        <v>1</v>
      </c>
      <c r="H71" s="6"/>
      <c r="I71" s="5" t="n">
        <v>5500</v>
      </c>
      <c r="J71" s="5" t="n">
        <v>0</v>
      </c>
      <c r="K71" s="5" t="n">
        <v>0</v>
      </c>
      <c r="L71" s="5" t="n">
        <f aca="false">I71*(1-J71/100)-K71</f>
        <v>5500</v>
      </c>
      <c r="M71" s="5" t="n">
        <f aca="false">G71*L71</f>
        <v>5500</v>
      </c>
      <c r="N71" s="5" t="n">
        <v>275</v>
      </c>
      <c r="O71" s="5" t="n">
        <v>0</v>
      </c>
      <c r="P71" s="5" t="n">
        <v>0</v>
      </c>
      <c r="Q71" s="5" t="n">
        <f aca="false">M71+N71+O71+P71</f>
        <v>5775</v>
      </c>
      <c r="R71" s="5" t="n">
        <v>9250</v>
      </c>
      <c r="S71" s="5" t="n">
        <v>6325</v>
      </c>
      <c r="T71" s="5" t="n">
        <v>7150</v>
      </c>
      <c r="U71" s="3"/>
      <c r="V71" s="3"/>
    </row>
    <row r="72" customFormat="false" ht="19.5" hidden="false" customHeight="true" outlineLevel="0" collapsed="false">
      <c r="A72" s="7" t="n">
        <v>70</v>
      </c>
      <c r="B72" s="7" t="s">
        <v>98</v>
      </c>
      <c r="C72" s="8" t="s">
        <v>26</v>
      </c>
      <c r="D72" s="7" t="s">
        <v>27</v>
      </c>
      <c r="E72" s="7" t="s">
        <v>28</v>
      </c>
      <c r="F72" s="7" t="s">
        <v>29</v>
      </c>
      <c r="G72" s="9" t="n">
        <v>1</v>
      </c>
      <c r="H72" s="10"/>
      <c r="I72" s="9" t="n">
        <v>5500</v>
      </c>
      <c r="J72" s="9" t="n">
        <v>0</v>
      </c>
      <c r="K72" s="9" t="n">
        <v>0</v>
      </c>
      <c r="L72" s="9" t="n">
        <f aca="false">I72*(1-J72/100)-K72</f>
        <v>5500</v>
      </c>
      <c r="M72" s="9" t="n">
        <f aca="false">G72*L72</f>
        <v>5500</v>
      </c>
      <c r="N72" s="9" t="n">
        <v>275</v>
      </c>
      <c r="O72" s="9" t="n">
        <v>0</v>
      </c>
      <c r="P72" s="9" t="n">
        <v>0</v>
      </c>
      <c r="Q72" s="9" t="n">
        <f aca="false">M72+N72+O72+P72</f>
        <v>5775</v>
      </c>
      <c r="R72" s="9" t="n">
        <v>9250</v>
      </c>
      <c r="S72" s="9" t="n">
        <v>6325</v>
      </c>
      <c r="T72" s="9" t="n">
        <v>7150</v>
      </c>
      <c r="U72" s="7"/>
      <c r="V72" s="7"/>
    </row>
    <row r="73" customFormat="false" ht="19.5" hidden="false" customHeight="true" outlineLevel="0" collapsed="false">
      <c r="A73" s="3" t="n">
        <v>71</v>
      </c>
      <c r="B73" s="3" t="s">
        <v>99</v>
      </c>
      <c r="C73" s="4" t="s">
        <v>26</v>
      </c>
      <c r="D73" s="3" t="s">
        <v>27</v>
      </c>
      <c r="E73" s="3" t="s">
        <v>28</v>
      </c>
      <c r="F73" s="3" t="s">
        <v>29</v>
      </c>
      <c r="G73" s="5" t="n">
        <v>1</v>
      </c>
      <c r="H73" s="6"/>
      <c r="I73" s="5" t="n">
        <v>5500</v>
      </c>
      <c r="J73" s="5" t="n">
        <v>0</v>
      </c>
      <c r="K73" s="5" t="n">
        <v>0</v>
      </c>
      <c r="L73" s="5" t="n">
        <f aca="false">I73*(1-J73/100)-K73</f>
        <v>5500</v>
      </c>
      <c r="M73" s="5" t="n">
        <f aca="false">G73*L73</f>
        <v>5500</v>
      </c>
      <c r="N73" s="5" t="n">
        <v>275</v>
      </c>
      <c r="O73" s="5" t="n">
        <v>0</v>
      </c>
      <c r="P73" s="5" t="n">
        <v>0</v>
      </c>
      <c r="Q73" s="5" t="n">
        <f aca="false">M73+N73+O73+P73</f>
        <v>5775</v>
      </c>
      <c r="R73" s="5" t="n">
        <v>9250</v>
      </c>
      <c r="S73" s="5" t="n">
        <v>6325</v>
      </c>
      <c r="T73" s="5" t="n">
        <v>7150</v>
      </c>
      <c r="U73" s="3"/>
      <c r="V73" s="3"/>
    </row>
    <row r="74" customFormat="false" ht="19.5" hidden="false" customHeight="true" outlineLevel="0" collapsed="false">
      <c r="A74" s="7" t="n">
        <v>72</v>
      </c>
      <c r="B74" s="7" t="s">
        <v>100</v>
      </c>
      <c r="C74" s="8" t="s">
        <v>26</v>
      </c>
      <c r="D74" s="7" t="s">
        <v>27</v>
      </c>
      <c r="E74" s="7" t="s">
        <v>28</v>
      </c>
      <c r="F74" s="7" t="s">
        <v>29</v>
      </c>
      <c r="G74" s="9" t="n">
        <v>1</v>
      </c>
      <c r="H74" s="10"/>
      <c r="I74" s="9" t="n">
        <v>5500</v>
      </c>
      <c r="J74" s="9" t="n">
        <v>0</v>
      </c>
      <c r="K74" s="9" t="n">
        <v>0</v>
      </c>
      <c r="L74" s="9" t="n">
        <f aca="false">I74*(1-J74/100)-K74</f>
        <v>5500</v>
      </c>
      <c r="M74" s="9" t="n">
        <f aca="false">G74*L74</f>
        <v>5500</v>
      </c>
      <c r="N74" s="9" t="n">
        <v>275</v>
      </c>
      <c r="O74" s="9" t="n">
        <v>0</v>
      </c>
      <c r="P74" s="9" t="n">
        <v>0</v>
      </c>
      <c r="Q74" s="9" t="n">
        <f aca="false">M74+N74+O74+P74</f>
        <v>5775</v>
      </c>
      <c r="R74" s="9" t="n">
        <v>9250</v>
      </c>
      <c r="S74" s="9" t="n">
        <v>6325</v>
      </c>
      <c r="T74" s="9" t="n">
        <v>7150</v>
      </c>
      <c r="U74" s="7"/>
      <c r="V74" s="7"/>
    </row>
    <row r="75" customFormat="false" ht="19.5" hidden="false" customHeight="true" outlineLevel="0" collapsed="false">
      <c r="A75" s="3" t="n">
        <v>73</v>
      </c>
      <c r="B75" s="3" t="s">
        <v>101</v>
      </c>
      <c r="C75" s="4" t="s">
        <v>26</v>
      </c>
      <c r="D75" s="3" t="s">
        <v>27</v>
      </c>
      <c r="E75" s="3" t="s">
        <v>28</v>
      </c>
      <c r="F75" s="3" t="s">
        <v>29</v>
      </c>
      <c r="G75" s="5" t="n">
        <v>1</v>
      </c>
      <c r="H75" s="6"/>
      <c r="I75" s="5" t="n">
        <v>5500</v>
      </c>
      <c r="J75" s="5" t="n">
        <v>0</v>
      </c>
      <c r="K75" s="5" t="n">
        <v>0</v>
      </c>
      <c r="L75" s="5" t="n">
        <f aca="false">I75*(1-J75/100)-K75</f>
        <v>5500</v>
      </c>
      <c r="M75" s="5" t="n">
        <f aca="false">G75*L75</f>
        <v>5500</v>
      </c>
      <c r="N75" s="5" t="n">
        <v>275</v>
      </c>
      <c r="O75" s="5" t="n">
        <v>0</v>
      </c>
      <c r="P75" s="5" t="n">
        <v>0</v>
      </c>
      <c r="Q75" s="5" t="n">
        <f aca="false">M75+N75+O75+P75</f>
        <v>5775</v>
      </c>
      <c r="R75" s="5" t="n">
        <v>9250</v>
      </c>
      <c r="S75" s="5" t="n">
        <v>6325</v>
      </c>
      <c r="T75" s="5" t="n">
        <v>7150</v>
      </c>
      <c r="U75" s="3"/>
      <c r="V75" s="3"/>
    </row>
    <row r="76" customFormat="false" ht="19.5" hidden="false" customHeight="true" outlineLevel="0" collapsed="false">
      <c r="A76" s="7" t="n">
        <v>74</v>
      </c>
      <c r="B76" s="7" t="s">
        <v>102</v>
      </c>
      <c r="C76" s="8" t="s">
        <v>26</v>
      </c>
      <c r="D76" s="7" t="s">
        <v>27</v>
      </c>
      <c r="E76" s="7" t="s">
        <v>28</v>
      </c>
      <c r="F76" s="7" t="s">
        <v>29</v>
      </c>
      <c r="G76" s="9" t="n">
        <v>1</v>
      </c>
      <c r="H76" s="10"/>
      <c r="I76" s="9" t="n">
        <v>5500</v>
      </c>
      <c r="J76" s="9" t="n">
        <v>0</v>
      </c>
      <c r="K76" s="9" t="n">
        <v>0</v>
      </c>
      <c r="L76" s="9" t="n">
        <f aca="false">I76*(1-J76/100)-K76</f>
        <v>5500</v>
      </c>
      <c r="M76" s="9" t="n">
        <f aca="false">G76*L76</f>
        <v>5500</v>
      </c>
      <c r="N76" s="9" t="n">
        <v>275</v>
      </c>
      <c r="O76" s="9" t="n">
        <v>0</v>
      </c>
      <c r="P76" s="9" t="n">
        <v>0</v>
      </c>
      <c r="Q76" s="9" t="n">
        <f aca="false">M76+N76+O76+P76</f>
        <v>5775</v>
      </c>
      <c r="R76" s="9" t="n">
        <v>9250</v>
      </c>
      <c r="S76" s="9" t="n">
        <v>6325</v>
      </c>
      <c r="T76" s="9" t="n">
        <v>7150</v>
      </c>
      <c r="U76" s="7"/>
      <c r="V76" s="7"/>
    </row>
    <row r="77" customFormat="false" ht="19.5" hidden="false" customHeight="true" outlineLevel="0" collapsed="false">
      <c r="A77" s="3" t="n">
        <v>75</v>
      </c>
      <c r="B77" s="3" t="s">
        <v>103</v>
      </c>
      <c r="C77" s="4" t="s">
        <v>26</v>
      </c>
      <c r="D77" s="3" t="s">
        <v>27</v>
      </c>
      <c r="E77" s="3" t="s">
        <v>28</v>
      </c>
      <c r="F77" s="3" t="s">
        <v>29</v>
      </c>
      <c r="G77" s="5" t="n">
        <v>1</v>
      </c>
      <c r="H77" s="6"/>
      <c r="I77" s="5" t="n">
        <v>5500</v>
      </c>
      <c r="J77" s="5" t="n">
        <v>0</v>
      </c>
      <c r="K77" s="5" t="n">
        <v>0</v>
      </c>
      <c r="L77" s="5" t="n">
        <f aca="false">I77*(1-J77/100)-K77</f>
        <v>5500</v>
      </c>
      <c r="M77" s="5" t="n">
        <f aca="false">G77*L77</f>
        <v>5500</v>
      </c>
      <c r="N77" s="5" t="n">
        <v>275</v>
      </c>
      <c r="O77" s="5" t="n">
        <v>0</v>
      </c>
      <c r="P77" s="5" t="n">
        <v>0</v>
      </c>
      <c r="Q77" s="5" t="n">
        <f aca="false">M77+N77+O77+P77</f>
        <v>5775</v>
      </c>
      <c r="R77" s="5" t="n">
        <v>9250</v>
      </c>
      <c r="S77" s="5" t="n">
        <v>6325</v>
      </c>
      <c r="T77" s="5" t="n">
        <v>7150</v>
      </c>
      <c r="U77" s="3"/>
      <c r="V77" s="3"/>
    </row>
    <row r="78" customFormat="false" ht="19.5" hidden="false" customHeight="true" outlineLevel="0" collapsed="false">
      <c r="A78" s="7" t="n">
        <v>76</v>
      </c>
      <c r="B78" s="7" t="s">
        <v>104</v>
      </c>
      <c r="C78" s="8" t="s">
        <v>26</v>
      </c>
      <c r="D78" s="7" t="s">
        <v>27</v>
      </c>
      <c r="E78" s="7" t="s">
        <v>28</v>
      </c>
      <c r="F78" s="7" t="s">
        <v>29</v>
      </c>
      <c r="G78" s="9" t="n">
        <v>1</v>
      </c>
      <c r="H78" s="10"/>
      <c r="I78" s="9" t="n">
        <v>5500</v>
      </c>
      <c r="J78" s="9" t="n">
        <v>0</v>
      </c>
      <c r="K78" s="9" t="n">
        <v>0</v>
      </c>
      <c r="L78" s="9" t="n">
        <f aca="false">I78*(1-J78/100)-K78</f>
        <v>5500</v>
      </c>
      <c r="M78" s="9" t="n">
        <f aca="false">G78*L78</f>
        <v>5500</v>
      </c>
      <c r="N78" s="9" t="n">
        <v>275</v>
      </c>
      <c r="O78" s="9" t="n">
        <v>0</v>
      </c>
      <c r="P78" s="9" t="n">
        <v>0</v>
      </c>
      <c r="Q78" s="9" t="n">
        <f aca="false">M78+N78+O78+P78</f>
        <v>5775</v>
      </c>
      <c r="R78" s="9" t="n">
        <v>9250</v>
      </c>
      <c r="S78" s="9" t="n">
        <v>6325</v>
      </c>
      <c r="T78" s="9" t="n">
        <v>7150</v>
      </c>
      <c r="U78" s="7"/>
      <c r="V78" s="7"/>
    </row>
    <row r="79" customFormat="false" ht="19.5" hidden="false" customHeight="true" outlineLevel="0" collapsed="false">
      <c r="A79" s="3" t="n">
        <v>77</v>
      </c>
      <c r="B79" s="3" t="s">
        <v>105</v>
      </c>
      <c r="C79" s="4" t="s">
        <v>26</v>
      </c>
      <c r="D79" s="3" t="s">
        <v>27</v>
      </c>
      <c r="E79" s="3" t="s">
        <v>28</v>
      </c>
      <c r="F79" s="3" t="s">
        <v>29</v>
      </c>
      <c r="G79" s="5" t="n">
        <v>1</v>
      </c>
      <c r="H79" s="6"/>
      <c r="I79" s="5" t="n">
        <v>5500</v>
      </c>
      <c r="J79" s="5" t="n">
        <v>0</v>
      </c>
      <c r="K79" s="5" t="n">
        <v>0</v>
      </c>
      <c r="L79" s="5" t="n">
        <f aca="false">I79*(1-J79/100)-K79</f>
        <v>5500</v>
      </c>
      <c r="M79" s="5" t="n">
        <f aca="false">G79*L79</f>
        <v>5500</v>
      </c>
      <c r="N79" s="5" t="n">
        <v>275</v>
      </c>
      <c r="O79" s="5" t="n">
        <v>0</v>
      </c>
      <c r="P79" s="5" t="n">
        <v>0</v>
      </c>
      <c r="Q79" s="5" t="n">
        <f aca="false">M79+N79+O79+P79</f>
        <v>5775</v>
      </c>
      <c r="R79" s="5" t="n">
        <v>9250</v>
      </c>
      <c r="S79" s="5" t="n">
        <v>6325</v>
      </c>
      <c r="T79" s="5" t="n">
        <v>7150</v>
      </c>
      <c r="U79" s="3"/>
      <c r="V79" s="3"/>
    </row>
    <row r="80" customFormat="false" ht="19.5" hidden="false" customHeight="true" outlineLevel="0" collapsed="false">
      <c r="A80" s="7" t="n">
        <v>78</v>
      </c>
      <c r="B80" s="7" t="s">
        <v>106</v>
      </c>
      <c r="C80" s="8" t="s">
        <v>26</v>
      </c>
      <c r="D80" s="7" t="s">
        <v>27</v>
      </c>
      <c r="E80" s="7" t="s">
        <v>28</v>
      </c>
      <c r="F80" s="7" t="s">
        <v>29</v>
      </c>
      <c r="G80" s="9" t="n">
        <v>1</v>
      </c>
      <c r="H80" s="10"/>
      <c r="I80" s="9" t="n">
        <v>5500</v>
      </c>
      <c r="J80" s="9" t="n">
        <v>0</v>
      </c>
      <c r="K80" s="9" t="n">
        <v>0</v>
      </c>
      <c r="L80" s="9" t="n">
        <f aca="false">I80*(1-J80/100)-K80</f>
        <v>5500</v>
      </c>
      <c r="M80" s="9" t="n">
        <f aca="false">G80*L80</f>
        <v>5500</v>
      </c>
      <c r="N80" s="9" t="n">
        <v>275</v>
      </c>
      <c r="O80" s="9" t="n">
        <v>0</v>
      </c>
      <c r="P80" s="9" t="n">
        <v>0</v>
      </c>
      <c r="Q80" s="9" t="n">
        <f aca="false">M80+N80+O80+P80</f>
        <v>5775</v>
      </c>
      <c r="R80" s="9" t="n">
        <v>9250</v>
      </c>
      <c r="S80" s="9" t="n">
        <v>6325</v>
      </c>
      <c r="T80" s="9" t="n">
        <v>7150</v>
      </c>
      <c r="U80" s="7"/>
      <c r="V80" s="7"/>
    </row>
    <row r="81" customFormat="false" ht="19.5" hidden="false" customHeight="true" outlineLevel="0" collapsed="false">
      <c r="A81" s="3" t="n">
        <v>79</v>
      </c>
      <c r="B81" s="3" t="s">
        <v>107</v>
      </c>
      <c r="C81" s="4" t="s">
        <v>26</v>
      </c>
      <c r="D81" s="3" t="s">
        <v>27</v>
      </c>
      <c r="E81" s="3" t="s">
        <v>28</v>
      </c>
      <c r="F81" s="3" t="s">
        <v>29</v>
      </c>
      <c r="G81" s="5" t="n">
        <v>1</v>
      </c>
      <c r="H81" s="6"/>
      <c r="I81" s="5" t="n">
        <v>5500</v>
      </c>
      <c r="J81" s="5" t="n">
        <v>0</v>
      </c>
      <c r="K81" s="5" t="n">
        <v>0</v>
      </c>
      <c r="L81" s="5" t="n">
        <f aca="false">I81*(1-J81/100)-K81</f>
        <v>5500</v>
      </c>
      <c r="M81" s="5" t="n">
        <f aca="false">G81*L81</f>
        <v>5500</v>
      </c>
      <c r="N81" s="5" t="n">
        <v>275</v>
      </c>
      <c r="O81" s="5" t="n">
        <v>0</v>
      </c>
      <c r="P81" s="5" t="n">
        <v>0</v>
      </c>
      <c r="Q81" s="5" t="n">
        <f aca="false">M81+N81+O81+P81</f>
        <v>5775</v>
      </c>
      <c r="R81" s="5" t="n">
        <v>9250</v>
      </c>
      <c r="S81" s="5" t="n">
        <v>6325</v>
      </c>
      <c r="T81" s="5" t="n">
        <v>7150</v>
      </c>
      <c r="U81" s="3"/>
      <c r="V81" s="3"/>
    </row>
    <row r="82" customFormat="false" ht="19.5" hidden="false" customHeight="true" outlineLevel="0" collapsed="false">
      <c r="A82" s="7" t="n">
        <v>80</v>
      </c>
      <c r="B82" s="7" t="s">
        <v>108</v>
      </c>
      <c r="C82" s="8" t="s">
        <v>26</v>
      </c>
      <c r="D82" s="7" t="s">
        <v>27</v>
      </c>
      <c r="E82" s="7" t="s">
        <v>28</v>
      </c>
      <c r="F82" s="7" t="s">
        <v>29</v>
      </c>
      <c r="G82" s="9" t="n">
        <v>1</v>
      </c>
      <c r="H82" s="10"/>
      <c r="I82" s="9" t="n">
        <v>5500</v>
      </c>
      <c r="J82" s="9" t="n">
        <v>0</v>
      </c>
      <c r="K82" s="9" t="n">
        <v>0</v>
      </c>
      <c r="L82" s="9" t="n">
        <f aca="false">I82*(1-J82/100)-K82</f>
        <v>5500</v>
      </c>
      <c r="M82" s="9" t="n">
        <f aca="false">G82*L82</f>
        <v>5500</v>
      </c>
      <c r="N82" s="9" t="n">
        <v>275</v>
      </c>
      <c r="O82" s="9" t="n">
        <v>0</v>
      </c>
      <c r="P82" s="9" t="n">
        <v>0</v>
      </c>
      <c r="Q82" s="9" t="n">
        <f aca="false">M82+N82+O82+P82</f>
        <v>5775</v>
      </c>
      <c r="R82" s="9" t="n">
        <v>9250</v>
      </c>
      <c r="S82" s="9" t="n">
        <v>6325</v>
      </c>
      <c r="T82" s="9" t="n">
        <v>7150</v>
      </c>
      <c r="U82" s="7"/>
      <c r="V82" s="7"/>
    </row>
    <row r="83" customFormat="false" ht="19.5" hidden="false" customHeight="true" outlineLevel="0" collapsed="false">
      <c r="A83" s="3" t="n">
        <v>81</v>
      </c>
      <c r="B83" s="3" t="s">
        <v>109</v>
      </c>
      <c r="C83" s="4" t="s">
        <v>26</v>
      </c>
      <c r="D83" s="3" t="s">
        <v>27</v>
      </c>
      <c r="E83" s="3" t="s">
        <v>28</v>
      </c>
      <c r="F83" s="3" t="s">
        <v>29</v>
      </c>
      <c r="G83" s="5" t="n">
        <v>1</v>
      </c>
      <c r="H83" s="6"/>
      <c r="I83" s="5" t="n">
        <v>6300</v>
      </c>
      <c r="J83" s="5" t="n">
        <v>0</v>
      </c>
      <c r="K83" s="5" t="n">
        <v>0</v>
      </c>
      <c r="L83" s="5" t="n">
        <f aca="false">I83*(1-J83/100)-K83</f>
        <v>6300</v>
      </c>
      <c r="M83" s="5" t="n">
        <f aca="false">G83*L83</f>
        <v>6300</v>
      </c>
      <c r="N83" s="5" t="n">
        <v>315</v>
      </c>
      <c r="O83" s="5" t="n">
        <v>0</v>
      </c>
      <c r="P83" s="5" t="n">
        <v>0</v>
      </c>
      <c r="Q83" s="5" t="n">
        <f aca="false">M83+N83+O83+P83</f>
        <v>6615</v>
      </c>
      <c r="R83" s="5" t="n">
        <v>10690</v>
      </c>
      <c r="S83" s="5" t="n">
        <v>7245</v>
      </c>
      <c r="T83" s="5" t="n">
        <v>8190</v>
      </c>
      <c r="U83" s="3"/>
      <c r="V83" s="3"/>
    </row>
    <row r="84" customFormat="false" ht="19.5" hidden="false" customHeight="true" outlineLevel="0" collapsed="false">
      <c r="A84" s="7" t="n">
        <v>82</v>
      </c>
      <c r="B84" s="7" t="s">
        <v>110</v>
      </c>
      <c r="C84" s="8" t="s">
        <v>26</v>
      </c>
      <c r="D84" s="7" t="s">
        <v>27</v>
      </c>
      <c r="E84" s="7" t="s">
        <v>28</v>
      </c>
      <c r="F84" s="7" t="s">
        <v>29</v>
      </c>
      <c r="G84" s="9" t="n">
        <v>1</v>
      </c>
      <c r="H84" s="10"/>
      <c r="I84" s="9" t="n">
        <v>6300</v>
      </c>
      <c r="J84" s="9" t="n">
        <v>0</v>
      </c>
      <c r="K84" s="9" t="n">
        <v>0</v>
      </c>
      <c r="L84" s="9" t="n">
        <f aca="false">I84*(1-J84/100)-K84</f>
        <v>6300</v>
      </c>
      <c r="M84" s="9" t="n">
        <f aca="false">G84*L84</f>
        <v>6300</v>
      </c>
      <c r="N84" s="9" t="n">
        <v>315</v>
      </c>
      <c r="O84" s="9" t="n">
        <v>0</v>
      </c>
      <c r="P84" s="9" t="n">
        <v>0</v>
      </c>
      <c r="Q84" s="9" t="n">
        <f aca="false">M84+N84+O84+P84</f>
        <v>6615</v>
      </c>
      <c r="R84" s="9" t="n">
        <v>10690</v>
      </c>
      <c r="S84" s="9" t="n">
        <v>7245</v>
      </c>
      <c r="T84" s="9" t="n">
        <v>8190</v>
      </c>
      <c r="U84" s="7"/>
      <c r="V84" s="7"/>
    </row>
    <row r="85" customFormat="false" ht="19.5" hidden="false" customHeight="true" outlineLevel="0" collapsed="false">
      <c r="A85" s="3" t="n">
        <v>83</v>
      </c>
      <c r="B85" s="3" t="s">
        <v>111</v>
      </c>
      <c r="C85" s="4" t="s">
        <v>26</v>
      </c>
      <c r="D85" s="3" t="s">
        <v>27</v>
      </c>
      <c r="E85" s="3" t="s">
        <v>28</v>
      </c>
      <c r="F85" s="3" t="s">
        <v>29</v>
      </c>
      <c r="G85" s="5" t="n">
        <v>1</v>
      </c>
      <c r="H85" s="6"/>
      <c r="I85" s="5" t="n">
        <v>6300</v>
      </c>
      <c r="J85" s="5" t="n">
        <v>0</v>
      </c>
      <c r="K85" s="5" t="n">
        <v>0</v>
      </c>
      <c r="L85" s="5" t="n">
        <f aca="false">I85*(1-J85/100)-K85</f>
        <v>6300</v>
      </c>
      <c r="M85" s="5" t="n">
        <f aca="false">G85*L85</f>
        <v>6300</v>
      </c>
      <c r="N85" s="5" t="n">
        <v>315</v>
      </c>
      <c r="O85" s="5" t="n">
        <v>0</v>
      </c>
      <c r="P85" s="5" t="n">
        <v>0</v>
      </c>
      <c r="Q85" s="5" t="n">
        <f aca="false">M85+N85+O85+P85</f>
        <v>6615</v>
      </c>
      <c r="R85" s="5" t="n">
        <v>10690</v>
      </c>
      <c r="S85" s="5" t="n">
        <v>7245</v>
      </c>
      <c r="T85" s="5" t="n">
        <v>8190</v>
      </c>
      <c r="U85" s="3"/>
      <c r="V85" s="3"/>
    </row>
    <row r="86" customFormat="false" ht="19.5" hidden="false" customHeight="true" outlineLevel="0" collapsed="false">
      <c r="A86" s="7" t="n">
        <v>84</v>
      </c>
      <c r="B86" s="7" t="s">
        <v>112</v>
      </c>
      <c r="C86" s="8" t="s">
        <v>26</v>
      </c>
      <c r="D86" s="7" t="s">
        <v>27</v>
      </c>
      <c r="E86" s="7" t="s">
        <v>28</v>
      </c>
      <c r="F86" s="7" t="s">
        <v>29</v>
      </c>
      <c r="G86" s="9" t="n">
        <v>1</v>
      </c>
      <c r="H86" s="10"/>
      <c r="I86" s="9" t="n">
        <v>6300</v>
      </c>
      <c r="J86" s="9" t="n">
        <v>0</v>
      </c>
      <c r="K86" s="9" t="n">
        <v>0</v>
      </c>
      <c r="L86" s="9" t="n">
        <f aca="false">I86*(1-J86/100)-K86</f>
        <v>6300</v>
      </c>
      <c r="M86" s="9" t="n">
        <f aca="false">G86*L86</f>
        <v>6300</v>
      </c>
      <c r="N86" s="9" t="n">
        <v>315</v>
      </c>
      <c r="O86" s="9" t="n">
        <v>0</v>
      </c>
      <c r="P86" s="9" t="n">
        <v>0</v>
      </c>
      <c r="Q86" s="9" t="n">
        <f aca="false">M86+N86+O86+P86</f>
        <v>6615</v>
      </c>
      <c r="R86" s="9" t="n">
        <v>10690</v>
      </c>
      <c r="S86" s="9" t="n">
        <v>7245</v>
      </c>
      <c r="T86" s="9" t="n">
        <v>8190</v>
      </c>
      <c r="U86" s="7"/>
      <c r="V86" s="7"/>
    </row>
    <row r="87" customFormat="false" ht="19.5" hidden="false" customHeight="true" outlineLevel="0" collapsed="false">
      <c r="A87" s="3" t="n">
        <v>85</v>
      </c>
      <c r="B87" s="3" t="s">
        <v>113</v>
      </c>
      <c r="C87" s="4" t="s">
        <v>26</v>
      </c>
      <c r="D87" s="3" t="s">
        <v>27</v>
      </c>
      <c r="E87" s="3" t="s">
        <v>28</v>
      </c>
      <c r="F87" s="3" t="s">
        <v>29</v>
      </c>
      <c r="G87" s="5" t="n">
        <v>1</v>
      </c>
      <c r="H87" s="6"/>
      <c r="I87" s="5" t="n">
        <v>6300</v>
      </c>
      <c r="J87" s="5" t="n">
        <v>0</v>
      </c>
      <c r="K87" s="5" t="n">
        <v>0</v>
      </c>
      <c r="L87" s="5" t="n">
        <f aca="false">I87*(1-J87/100)-K87</f>
        <v>6300</v>
      </c>
      <c r="M87" s="5" t="n">
        <f aca="false">G87*L87</f>
        <v>6300</v>
      </c>
      <c r="N87" s="5" t="n">
        <v>315</v>
      </c>
      <c r="O87" s="5" t="n">
        <v>0</v>
      </c>
      <c r="P87" s="5" t="n">
        <v>0</v>
      </c>
      <c r="Q87" s="5" t="n">
        <f aca="false">M87+N87+O87+P87</f>
        <v>6615</v>
      </c>
      <c r="R87" s="5" t="n">
        <v>10690</v>
      </c>
      <c r="S87" s="5" t="n">
        <v>7245</v>
      </c>
      <c r="T87" s="5" t="n">
        <v>8190</v>
      </c>
      <c r="U87" s="3"/>
      <c r="V87" s="3"/>
    </row>
    <row r="88" customFormat="false" ht="19.5" hidden="false" customHeight="true" outlineLevel="0" collapsed="false">
      <c r="A88" s="7" t="n">
        <v>86</v>
      </c>
      <c r="B88" s="7" t="s">
        <v>114</v>
      </c>
      <c r="C88" s="8" t="s">
        <v>26</v>
      </c>
      <c r="D88" s="7" t="s">
        <v>27</v>
      </c>
      <c r="E88" s="7" t="s">
        <v>28</v>
      </c>
      <c r="F88" s="7" t="s">
        <v>29</v>
      </c>
      <c r="G88" s="9" t="n">
        <v>1</v>
      </c>
      <c r="H88" s="10"/>
      <c r="I88" s="9" t="n">
        <v>6300</v>
      </c>
      <c r="J88" s="9" t="n">
        <v>0</v>
      </c>
      <c r="K88" s="9" t="n">
        <v>0</v>
      </c>
      <c r="L88" s="9" t="n">
        <f aca="false">I88*(1-J88/100)-K88</f>
        <v>6300</v>
      </c>
      <c r="M88" s="9" t="n">
        <f aca="false">G88*L88</f>
        <v>6300</v>
      </c>
      <c r="N88" s="9" t="n">
        <v>315</v>
      </c>
      <c r="O88" s="9" t="n">
        <v>0</v>
      </c>
      <c r="P88" s="9" t="n">
        <v>0</v>
      </c>
      <c r="Q88" s="9" t="n">
        <f aca="false">M88+N88+O88+P88</f>
        <v>6615</v>
      </c>
      <c r="R88" s="9" t="n">
        <v>10690</v>
      </c>
      <c r="S88" s="9" t="n">
        <v>7245</v>
      </c>
      <c r="T88" s="9" t="n">
        <v>8190</v>
      </c>
      <c r="U88" s="7"/>
      <c r="V88" s="7"/>
    </row>
    <row r="89" customFormat="false" ht="19.5" hidden="false" customHeight="true" outlineLevel="0" collapsed="false">
      <c r="A89" s="3" t="n">
        <v>87</v>
      </c>
      <c r="B89" s="3" t="s">
        <v>115</v>
      </c>
      <c r="C89" s="4" t="s">
        <v>26</v>
      </c>
      <c r="D89" s="3" t="s">
        <v>27</v>
      </c>
      <c r="E89" s="3" t="s">
        <v>28</v>
      </c>
      <c r="F89" s="3" t="s">
        <v>29</v>
      </c>
      <c r="G89" s="5" t="n">
        <v>1</v>
      </c>
      <c r="H89" s="6"/>
      <c r="I89" s="5" t="n">
        <v>11850</v>
      </c>
      <c r="J89" s="5" t="n">
        <v>0</v>
      </c>
      <c r="K89" s="5" t="n">
        <v>0</v>
      </c>
      <c r="L89" s="5" t="n">
        <f aca="false">I89*(1-J89/100)-K89</f>
        <v>11850</v>
      </c>
      <c r="M89" s="5" t="n">
        <f aca="false">G89*L89</f>
        <v>11850</v>
      </c>
      <c r="N89" s="5" t="n">
        <v>592.5</v>
      </c>
      <c r="O89" s="5" t="n">
        <v>0</v>
      </c>
      <c r="P89" s="5" t="n">
        <v>0</v>
      </c>
      <c r="Q89" s="5" t="n">
        <f aca="false">M89+N89+O89+P89</f>
        <v>12442.5</v>
      </c>
      <c r="R89" s="5" t="n">
        <v>19830</v>
      </c>
      <c r="S89" s="5" t="n">
        <v>13627.5</v>
      </c>
      <c r="T89" s="5" t="n">
        <v>15405</v>
      </c>
      <c r="U89" s="3"/>
      <c r="V89" s="3"/>
    </row>
    <row r="90" customFormat="false" ht="19.5" hidden="false" customHeight="true" outlineLevel="0" collapsed="false">
      <c r="A90" s="7" t="n">
        <v>88</v>
      </c>
      <c r="B90" s="7" t="s">
        <v>116</v>
      </c>
      <c r="C90" s="8" t="s">
        <v>26</v>
      </c>
      <c r="D90" s="7" t="s">
        <v>27</v>
      </c>
      <c r="E90" s="7" t="s">
        <v>28</v>
      </c>
      <c r="F90" s="7" t="s">
        <v>29</v>
      </c>
      <c r="G90" s="9" t="n">
        <v>1</v>
      </c>
      <c r="H90" s="10"/>
      <c r="I90" s="9" t="n">
        <v>11850</v>
      </c>
      <c r="J90" s="9" t="n">
        <v>0</v>
      </c>
      <c r="K90" s="9" t="n">
        <v>0</v>
      </c>
      <c r="L90" s="9" t="n">
        <f aca="false">I90*(1-J90/100)-K90</f>
        <v>11850</v>
      </c>
      <c r="M90" s="9" t="n">
        <f aca="false">G90*L90</f>
        <v>11850</v>
      </c>
      <c r="N90" s="9" t="n">
        <v>592.5</v>
      </c>
      <c r="O90" s="9" t="n">
        <v>0</v>
      </c>
      <c r="P90" s="9" t="n">
        <v>0</v>
      </c>
      <c r="Q90" s="9" t="n">
        <f aca="false">M90+N90+O90+P90</f>
        <v>12442.5</v>
      </c>
      <c r="R90" s="9" t="n">
        <v>19830</v>
      </c>
      <c r="S90" s="9" t="n">
        <v>13627.5</v>
      </c>
      <c r="T90" s="9" t="n">
        <v>15405</v>
      </c>
      <c r="U90" s="7"/>
      <c r="V90" s="7"/>
    </row>
    <row r="91" customFormat="false" ht="19.5" hidden="false" customHeight="true" outlineLevel="0" collapsed="false">
      <c r="A91" s="3" t="n">
        <v>89</v>
      </c>
      <c r="B91" s="3" t="s">
        <v>117</v>
      </c>
      <c r="C91" s="4" t="s">
        <v>26</v>
      </c>
      <c r="D91" s="3" t="s">
        <v>27</v>
      </c>
      <c r="E91" s="3" t="s">
        <v>28</v>
      </c>
      <c r="F91" s="3" t="s">
        <v>29</v>
      </c>
      <c r="G91" s="5" t="n">
        <v>1</v>
      </c>
      <c r="H91" s="6"/>
      <c r="I91" s="5" t="n">
        <v>13300</v>
      </c>
      <c r="J91" s="5" t="n">
        <v>0</v>
      </c>
      <c r="K91" s="5" t="n">
        <v>0</v>
      </c>
      <c r="L91" s="5" t="n">
        <f aca="false">I91*(1-J91/100)-K91</f>
        <v>13300</v>
      </c>
      <c r="M91" s="5" t="n">
        <f aca="false">G91*L91</f>
        <v>13300</v>
      </c>
      <c r="N91" s="5" t="n">
        <v>665</v>
      </c>
      <c r="O91" s="5" t="n">
        <v>0</v>
      </c>
      <c r="P91" s="5" t="n">
        <v>0</v>
      </c>
      <c r="Q91" s="5" t="n">
        <f aca="false">M91+N91+O91+P91</f>
        <v>13965</v>
      </c>
      <c r="R91" s="5" t="n">
        <v>21980</v>
      </c>
      <c r="S91" s="5" t="n">
        <v>15295</v>
      </c>
      <c r="T91" s="5" t="n">
        <v>17290</v>
      </c>
      <c r="U91" s="3"/>
      <c r="V91" s="3"/>
    </row>
    <row r="92" customFormat="false" ht="19.5" hidden="false" customHeight="true" outlineLevel="0" collapsed="false">
      <c r="A92" s="7" t="n">
        <v>90</v>
      </c>
      <c r="B92" s="7" t="s">
        <v>118</v>
      </c>
      <c r="C92" s="8" t="s">
        <v>26</v>
      </c>
      <c r="D92" s="7" t="s">
        <v>27</v>
      </c>
      <c r="E92" s="7" t="s">
        <v>28</v>
      </c>
      <c r="F92" s="7" t="s">
        <v>29</v>
      </c>
      <c r="G92" s="9" t="n">
        <v>1</v>
      </c>
      <c r="H92" s="10"/>
      <c r="I92" s="9" t="n">
        <v>13300</v>
      </c>
      <c r="J92" s="9" t="n">
        <v>0</v>
      </c>
      <c r="K92" s="9" t="n">
        <v>0</v>
      </c>
      <c r="L92" s="9" t="n">
        <f aca="false">I92*(1-J92/100)-K92</f>
        <v>13300</v>
      </c>
      <c r="M92" s="9" t="n">
        <f aca="false">G92*L92</f>
        <v>13300</v>
      </c>
      <c r="N92" s="9" t="n">
        <v>665</v>
      </c>
      <c r="O92" s="9" t="n">
        <v>0</v>
      </c>
      <c r="P92" s="9" t="n">
        <v>0</v>
      </c>
      <c r="Q92" s="9" t="n">
        <f aca="false">M92+N92+O92+P92</f>
        <v>13965</v>
      </c>
      <c r="R92" s="9" t="n">
        <v>21980</v>
      </c>
      <c r="S92" s="9" t="n">
        <v>15295</v>
      </c>
      <c r="T92" s="9" t="n">
        <v>17290</v>
      </c>
      <c r="U92" s="7"/>
      <c r="V92" s="7"/>
    </row>
    <row r="93" customFormat="false" ht="19.5" hidden="false" customHeight="true" outlineLevel="0" collapsed="false">
      <c r="A93" s="3" t="n">
        <v>91</v>
      </c>
      <c r="B93" s="3" t="s">
        <v>119</v>
      </c>
      <c r="C93" s="4" t="s">
        <v>26</v>
      </c>
      <c r="D93" s="3" t="s">
        <v>27</v>
      </c>
      <c r="E93" s="3" t="s">
        <v>28</v>
      </c>
      <c r="F93" s="3" t="s">
        <v>29</v>
      </c>
      <c r="G93" s="5" t="n">
        <v>1</v>
      </c>
      <c r="H93" s="6"/>
      <c r="I93" s="5" t="n">
        <v>13300</v>
      </c>
      <c r="J93" s="5" t="n">
        <v>0</v>
      </c>
      <c r="K93" s="5" t="n">
        <v>0</v>
      </c>
      <c r="L93" s="5" t="n">
        <f aca="false">I93*(1-J93/100)-K93</f>
        <v>13300</v>
      </c>
      <c r="M93" s="5" t="n">
        <f aca="false">G93*L93</f>
        <v>13300</v>
      </c>
      <c r="N93" s="5" t="n">
        <v>665</v>
      </c>
      <c r="O93" s="5" t="n">
        <v>0</v>
      </c>
      <c r="P93" s="5" t="n">
        <v>0</v>
      </c>
      <c r="Q93" s="5" t="n">
        <f aca="false">M93+N93+O93+P93</f>
        <v>13965</v>
      </c>
      <c r="R93" s="5" t="n">
        <v>21980</v>
      </c>
      <c r="S93" s="5" t="n">
        <v>15295</v>
      </c>
      <c r="T93" s="5" t="n">
        <v>17290</v>
      </c>
      <c r="U93" s="3"/>
      <c r="V93" s="3"/>
    </row>
    <row r="94" customFormat="false" ht="19.5" hidden="false" customHeight="true" outlineLevel="0" collapsed="false">
      <c r="A94" s="7" t="n">
        <v>92</v>
      </c>
      <c r="B94" s="7" t="s">
        <v>120</v>
      </c>
      <c r="C94" s="8" t="s">
        <v>26</v>
      </c>
      <c r="D94" s="7" t="s">
        <v>27</v>
      </c>
      <c r="E94" s="7" t="s">
        <v>28</v>
      </c>
      <c r="F94" s="7" t="s">
        <v>29</v>
      </c>
      <c r="G94" s="9" t="n">
        <v>1</v>
      </c>
      <c r="H94" s="10"/>
      <c r="I94" s="9" t="n">
        <v>13300</v>
      </c>
      <c r="J94" s="9" t="n">
        <v>0</v>
      </c>
      <c r="K94" s="9" t="n">
        <v>0</v>
      </c>
      <c r="L94" s="9" t="n">
        <f aca="false">I94*(1-J94/100)-K94</f>
        <v>13300</v>
      </c>
      <c r="M94" s="9" t="n">
        <f aca="false">G94*L94</f>
        <v>13300</v>
      </c>
      <c r="N94" s="9" t="n">
        <v>665</v>
      </c>
      <c r="O94" s="9" t="n">
        <v>0</v>
      </c>
      <c r="P94" s="9" t="n">
        <v>0</v>
      </c>
      <c r="Q94" s="9" t="n">
        <f aca="false">M94+N94+O94+P94</f>
        <v>13965</v>
      </c>
      <c r="R94" s="9" t="n">
        <v>21980</v>
      </c>
      <c r="S94" s="9" t="n">
        <v>15295</v>
      </c>
      <c r="T94" s="9" t="n">
        <v>17290</v>
      </c>
      <c r="U94" s="7"/>
      <c r="V94" s="7"/>
    </row>
    <row r="95" customFormat="false" ht="19.5" hidden="false" customHeight="true" outlineLevel="0" collapsed="false">
      <c r="A95" s="3" t="n">
        <v>93</v>
      </c>
      <c r="B95" s="3" t="s">
        <v>121</v>
      </c>
      <c r="C95" s="4" t="s">
        <v>26</v>
      </c>
      <c r="D95" s="3" t="s">
        <v>27</v>
      </c>
      <c r="E95" s="3" t="s">
        <v>28</v>
      </c>
      <c r="F95" s="3" t="s">
        <v>29</v>
      </c>
      <c r="G95" s="5" t="n">
        <v>1</v>
      </c>
      <c r="H95" s="6"/>
      <c r="I95" s="5" t="n">
        <v>8200</v>
      </c>
      <c r="J95" s="5" t="n">
        <v>0</v>
      </c>
      <c r="K95" s="5" t="n">
        <v>0</v>
      </c>
      <c r="L95" s="5" t="n">
        <f aca="false">I95*(1-J95/100)-K95</f>
        <v>8200</v>
      </c>
      <c r="M95" s="5" t="n">
        <f aca="false">G95*L95</f>
        <v>8200</v>
      </c>
      <c r="N95" s="5" t="n">
        <v>410</v>
      </c>
      <c r="O95" s="5" t="n">
        <v>0</v>
      </c>
      <c r="P95" s="5" t="n">
        <v>0</v>
      </c>
      <c r="Q95" s="5" t="n">
        <f aca="false">M95+N95+O95+P95</f>
        <v>8610</v>
      </c>
      <c r="R95" s="5" t="n">
        <v>13980</v>
      </c>
      <c r="S95" s="5" t="n">
        <v>9430</v>
      </c>
      <c r="T95" s="5" t="n">
        <v>10660</v>
      </c>
      <c r="U95" s="3"/>
      <c r="V95" s="3"/>
    </row>
    <row r="96" customFormat="false" ht="19.5" hidden="false" customHeight="true" outlineLevel="0" collapsed="false">
      <c r="A96" s="7" t="n">
        <v>94</v>
      </c>
      <c r="B96" s="7" t="s">
        <v>122</v>
      </c>
      <c r="C96" s="8" t="s">
        <v>26</v>
      </c>
      <c r="D96" s="7" t="s">
        <v>27</v>
      </c>
      <c r="E96" s="7" t="s">
        <v>28</v>
      </c>
      <c r="F96" s="7" t="s">
        <v>29</v>
      </c>
      <c r="G96" s="9" t="n">
        <v>1</v>
      </c>
      <c r="H96" s="10"/>
      <c r="I96" s="9" t="n">
        <v>8200</v>
      </c>
      <c r="J96" s="9" t="n">
        <v>0</v>
      </c>
      <c r="K96" s="9" t="n">
        <v>0</v>
      </c>
      <c r="L96" s="9" t="n">
        <f aca="false">I96*(1-J96/100)-K96</f>
        <v>8200</v>
      </c>
      <c r="M96" s="9" t="n">
        <f aca="false">G96*L96</f>
        <v>8200</v>
      </c>
      <c r="N96" s="9" t="n">
        <v>410</v>
      </c>
      <c r="O96" s="9" t="n">
        <v>0</v>
      </c>
      <c r="P96" s="9" t="n">
        <v>0</v>
      </c>
      <c r="Q96" s="9" t="n">
        <f aca="false">M96+N96+O96+P96</f>
        <v>8610</v>
      </c>
      <c r="R96" s="9" t="n">
        <v>13980</v>
      </c>
      <c r="S96" s="9" t="n">
        <v>9430</v>
      </c>
      <c r="T96" s="9" t="n">
        <v>10660</v>
      </c>
      <c r="U96" s="7"/>
      <c r="V96" s="7"/>
    </row>
    <row r="97" customFormat="false" ht="19.5" hidden="false" customHeight="true" outlineLevel="0" collapsed="false">
      <c r="A97" s="3" t="n">
        <v>95</v>
      </c>
      <c r="B97" s="3" t="s">
        <v>123</v>
      </c>
      <c r="C97" s="4" t="s">
        <v>26</v>
      </c>
      <c r="D97" s="3" t="s">
        <v>27</v>
      </c>
      <c r="E97" s="3" t="s">
        <v>28</v>
      </c>
      <c r="F97" s="3" t="s">
        <v>29</v>
      </c>
      <c r="G97" s="5" t="n">
        <v>1</v>
      </c>
      <c r="H97" s="6"/>
      <c r="I97" s="5" t="n">
        <v>8200</v>
      </c>
      <c r="J97" s="5" t="n">
        <v>0</v>
      </c>
      <c r="K97" s="5" t="n">
        <v>0</v>
      </c>
      <c r="L97" s="5" t="n">
        <f aca="false">I97*(1-J97/100)-K97</f>
        <v>8200</v>
      </c>
      <c r="M97" s="5" t="n">
        <f aca="false">G97*L97</f>
        <v>8200</v>
      </c>
      <c r="N97" s="5" t="n">
        <v>410</v>
      </c>
      <c r="O97" s="5" t="n">
        <v>0</v>
      </c>
      <c r="P97" s="5" t="n">
        <v>0</v>
      </c>
      <c r="Q97" s="5" t="n">
        <f aca="false">M97+N97+O97+P97</f>
        <v>8610</v>
      </c>
      <c r="R97" s="5" t="n">
        <v>13980</v>
      </c>
      <c r="S97" s="5" t="n">
        <v>9430</v>
      </c>
      <c r="T97" s="5" t="n">
        <v>10660</v>
      </c>
      <c r="U97" s="3"/>
      <c r="V97" s="3"/>
    </row>
    <row r="98" customFormat="false" ht="19.5" hidden="false" customHeight="true" outlineLevel="0" collapsed="false">
      <c r="A98" s="7" t="n">
        <v>96</v>
      </c>
      <c r="B98" s="7" t="s">
        <v>124</v>
      </c>
      <c r="C98" s="8" t="s">
        <v>26</v>
      </c>
      <c r="D98" s="7" t="s">
        <v>27</v>
      </c>
      <c r="E98" s="7" t="s">
        <v>28</v>
      </c>
      <c r="F98" s="7" t="s">
        <v>29</v>
      </c>
      <c r="G98" s="9" t="n">
        <v>1</v>
      </c>
      <c r="H98" s="10"/>
      <c r="I98" s="9" t="n">
        <v>8200</v>
      </c>
      <c r="J98" s="9" t="n">
        <v>0</v>
      </c>
      <c r="K98" s="9" t="n">
        <v>0</v>
      </c>
      <c r="L98" s="9" t="n">
        <f aca="false">I98*(1-J98/100)-K98</f>
        <v>8200</v>
      </c>
      <c r="M98" s="9" t="n">
        <f aca="false">G98*L98</f>
        <v>8200</v>
      </c>
      <c r="N98" s="9" t="n">
        <v>410</v>
      </c>
      <c r="O98" s="9" t="n">
        <v>0</v>
      </c>
      <c r="P98" s="9" t="n">
        <v>0</v>
      </c>
      <c r="Q98" s="9" t="n">
        <f aca="false">M98+N98+O98+P98</f>
        <v>8610</v>
      </c>
      <c r="R98" s="9" t="n">
        <v>13980</v>
      </c>
      <c r="S98" s="9" t="n">
        <v>9430</v>
      </c>
      <c r="T98" s="9" t="n">
        <v>10660</v>
      </c>
      <c r="U98" s="7"/>
      <c r="V98" s="7"/>
    </row>
    <row r="99" customFormat="false" ht="21.75" hidden="false" customHeight="true" outlineLevel="0" collapsed="false">
      <c r="A99" s="3" t="n">
        <v>97</v>
      </c>
      <c r="B99" s="3" t="s">
        <v>125</v>
      </c>
      <c r="C99" s="4" t="s">
        <v>26</v>
      </c>
      <c r="D99" s="3" t="s">
        <v>27</v>
      </c>
      <c r="E99" s="3" t="s">
        <v>28</v>
      </c>
      <c r="F99" s="3" t="s">
        <v>29</v>
      </c>
      <c r="G99" s="5" t="n">
        <v>1</v>
      </c>
      <c r="H99" s="6"/>
      <c r="I99" s="5" t="n">
        <v>7800</v>
      </c>
      <c r="J99" s="5" t="n">
        <v>0</v>
      </c>
      <c r="K99" s="5" t="n">
        <v>0</v>
      </c>
      <c r="L99" s="5" t="n">
        <f aca="false">I99*(1-J99/100)-K99</f>
        <v>7800</v>
      </c>
      <c r="M99" s="5" t="n">
        <f aca="false">G99*L99</f>
        <v>7800</v>
      </c>
      <c r="N99" s="5" t="n">
        <v>390</v>
      </c>
      <c r="O99" s="5" t="n">
        <v>0</v>
      </c>
      <c r="P99" s="5" t="n">
        <v>0</v>
      </c>
      <c r="Q99" s="5" t="n">
        <f aca="false">M99+N99+O99+P99</f>
        <v>8190</v>
      </c>
      <c r="R99" s="5" t="n">
        <v>13200</v>
      </c>
      <c r="S99" s="5" t="n">
        <v>8970</v>
      </c>
      <c r="T99" s="5" t="n">
        <v>10140</v>
      </c>
      <c r="U99" s="3"/>
      <c r="V99" s="3"/>
    </row>
    <row r="100" customFormat="false" ht="14.25" hidden="false" customHeight="false" outlineLevel="0" collapsed="false">
      <c r="A100" s="11" t="s">
        <v>126</v>
      </c>
      <c r="B100" s="11"/>
      <c r="C100" s="12"/>
      <c r="D100" s="11"/>
      <c r="E100" s="11"/>
      <c r="F100" s="11"/>
      <c r="G100" s="13" t="n">
        <f aca="false">SUM(G3:G99)</f>
        <v>97</v>
      </c>
      <c r="H100" s="14" t="n">
        <f aca="false">SUM(H3:H99)</f>
        <v>0</v>
      </c>
      <c r="I100" s="13" t="n">
        <f aca="false">AVERAGE(I3:I99)</f>
        <v>6454.63917525773</v>
      </c>
      <c r="J100" s="13" t="n">
        <f aca="false">SUM(J3:J99)</f>
        <v>0</v>
      </c>
      <c r="K100" s="13" t="n">
        <f aca="false">SUM(K3:K99)</f>
        <v>0</v>
      </c>
      <c r="L100" s="13" t="n">
        <f aca="false">AVERAGE(L3:L99)</f>
        <v>6454.63917525773</v>
      </c>
      <c r="M100" s="13" t="n">
        <f aca="false">SUM(M3:M99)</f>
        <v>626100</v>
      </c>
      <c r="N100" s="13" t="n">
        <f aca="false">SUM(N3:N99)</f>
        <v>31305</v>
      </c>
      <c r="O100" s="13" t="n">
        <f aca="false">SUM(O3:O99)</f>
        <v>0</v>
      </c>
      <c r="P100" s="13" t="n">
        <f aca="false">SUM(P3:P99)</f>
        <v>0</v>
      </c>
      <c r="Q100" s="13" t="n">
        <f aca="false">SUM(Q3:Q99)</f>
        <v>657405</v>
      </c>
      <c r="R100" s="13" t="n">
        <f aca="false">AVERAGE(R3:R99)</f>
        <v>10824.9484536082</v>
      </c>
      <c r="S100" s="13" t="n">
        <f aca="false">AVERAGE(S3:S99)</f>
        <v>7422.83505154639</v>
      </c>
      <c r="T100" s="13" t="n">
        <f aca="false">AVERAGE(T3:T99)</f>
        <v>8391.03092783505</v>
      </c>
      <c r="U100" s="11"/>
      <c r="V100" s="11"/>
    </row>
    <row r="102" customFormat="false" ht="21.75" hidden="false" customHeight="true" outlineLevel="0" collapsed="false">
      <c r="A102" s="15" t="s">
        <v>127</v>
      </c>
    </row>
    <row r="103" customFormat="false" ht="24" hidden="false" customHeight="true" outlineLevel="0" collapsed="false">
      <c r="A103" s="2" t="s">
        <v>0</v>
      </c>
      <c r="B103" s="2" t="s">
        <v>128</v>
      </c>
      <c r="C103" s="2" t="s">
        <v>129</v>
      </c>
      <c r="D103" s="2" t="s">
        <v>130</v>
      </c>
      <c r="E103" s="2" t="s">
        <v>131</v>
      </c>
      <c r="F103" s="2" t="s">
        <v>8</v>
      </c>
      <c r="G103" s="2" t="s">
        <v>9</v>
      </c>
    </row>
    <row r="104" customFormat="false" ht="19.5" hidden="false" customHeight="true" outlineLevel="0" collapsed="false">
      <c r="A104" s="16" t="n">
        <v>1</v>
      </c>
      <c r="B104" s="16" t="n">
        <v>1</v>
      </c>
      <c r="C104" s="16" t="str">
        <f aca="false">C3</f>
        <v>15-SA-PURE</v>
      </c>
      <c r="D104" s="17" t="n">
        <f aca="false">SUM(G3:G9)</f>
        <v>7</v>
      </c>
      <c r="E104" s="17" t="n">
        <f aca="false">SUM(M3:M9)</f>
        <v>50750</v>
      </c>
      <c r="F104" s="17" t="n">
        <f aca="false">ROUND(E104*5%,2)</f>
        <v>2537.5</v>
      </c>
      <c r="G104" s="17" t="n">
        <f aca="false">E104+F104</f>
        <v>53287.5</v>
      </c>
    </row>
    <row r="105" customFormat="false" ht="19.5" hidden="false" customHeight="true" outlineLevel="0" collapsed="false">
      <c r="A105" s="16" t="n">
        <v>2</v>
      </c>
      <c r="B105" s="16" t="n">
        <v>2</v>
      </c>
      <c r="C105" s="16" t="str">
        <f aca="false">C10</f>
        <v>15-SA-PURE</v>
      </c>
      <c r="D105" s="17" t="n">
        <f aca="false">SUM(G10:G16)</f>
        <v>7</v>
      </c>
      <c r="E105" s="17" t="n">
        <f aca="false">SUM(M10:M16)</f>
        <v>50050</v>
      </c>
      <c r="F105" s="17" t="n">
        <f aca="false">ROUND(E105*5%,2)</f>
        <v>2502.5</v>
      </c>
      <c r="G105" s="17" t="n">
        <f aca="false">E105+F105</f>
        <v>52552.5</v>
      </c>
    </row>
    <row r="106" customFormat="false" ht="19.5" hidden="false" customHeight="true" outlineLevel="0" collapsed="false">
      <c r="A106" s="16" t="n">
        <v>3</v>
      </c>
      <c r="B106" s="16" t="n">
        <v>3</v>
      </c>
      <c r="C106" s="16" t="str">
        <f aca="false">C17</f>
        <v>15-SA-PURE</v>
      </c>
      <c r="D106" s="17" t="n">
        <f aca="false">SUM(G17:G27)</f>
        <v>11</v>
      </c>
      <c r="E106" s="17" t="n">
        <f aca="false">SUM(M17:M27)</f>
        <v>70400</v>
      </c>
      <c r="F106" s="17" t="n">
        <f aca="false">ROUND(E106*5%,2)</f>
        <v>3520</v>
      </c>
      <c r="G106" s="17" t="n">
        <f aca="false">E106+F106</f>
        <v>73920</v>
      </c>
    </row>
    <row r="107" customFormat="false" ht="19.5" hidden="false" customHeight="true" outlineLevel="0" collapsed="false">
      <c r="A107" s="16" t="n">
        <v>4</v>
      </c>
      <c r="B107" s="16" t="n">
        <v>4</v>
      </c>
      <c r="C107" s="16" t="str">
        <f aca="false">C28</f>
        <v>15-SA-PURE</v>
      </c>
      <c r="D107" s="17" t="n">
        <f aca="false">SUM(G28:G33)</f>
        <v>6</v>
      </c>
      <c r="E107" s="17" t="n">
        <f aca="false">SUM(M28:M33)</f>
        <v>41700</v>
      </c>
      <c r="F107" s="17" t="n">
        <f aca="false">ROUND(E107*5%,2)</f>
        <v>2085</v>
      </c>
      <c r="G107" s="17" t="n">
        <f aca="false">E107+F107</f>
        <v>43785</v>
      </c>
    </row>
    <row r="108" customFormat="false" ht="19.5" hidden="false" customHeight="true" outlineLevel="0" collapsed="false">
      <c r="A108" s="16" t="n">
        <v>5</v>
      </c>
      <c r="B108" s="16" t="n">
        <v>5</v>
      </c>
      <c r="C108" s="16" t="str">
        <f aca="false">C34</f>
        <v>15-SA-PURE</v>
      </c>
      <c r="D108" s="17" t="n">
        <f aca="false">SUM(G34:G40)</f>
        <v>7</v>
      </c>
      <c r="E108" s="17" t="n">
        <f aca="false">SUM(M34:M40)</f>
        <v>42700</v>
      </c>
      <c r="F108" s="17" t="n">
        <f aca="false">ROUND(E108*5%,2)</f>
        <v>2135</v>
      </c>
      <c r="G108" s="17" t="n">
        <f aca="false">E108+F108</f>
        <v>44835</v>
      </c>
    </row>
    <row r="109" customFormat="false" ht="19.5" hidden="false" customHeight="true" outlineLevel="0" collapsed="false">
      <c r="A109" s="16" t="n">
        <v>6</v>
      </c>
      <c r="B109" s="16" t="n">
        <v>6</v>
      </c>
      <c r="C109" s="16" t="str">
        <f aca="false">C41</f>
        <v>15-SA-PURE</v>
      </c>
      <c r="D109" s="17" t="n">
        <f aca="false">SUM(G41:G46)</f>
        <v>6</v>
      </c>
      <c r="E109" s="17" t="n">
        <f aca="false">SUM(M41:M46)</f>
        <v>30600</v>
      </c>
      <c r="F109" s="17" t="n">
        <f aca="false">ROUND(E109*5%,2)</f>
        <v>1530</v>
      </c>
      <c r="G109" s="17" t="n">
        <f aca="false">E109+F109</f>
        <v>32130</v>
      </c>
    </row>
    <row r="110" customFormat="false" ht="19.5" hidden="false" customHeight="true" outlineLevel="0" collapsed="false">
      <c r="A110" s="16" t="n">
        <v>7</v>
      </c>
      <c r="B110" s="16" t="n">
        <v>7</v>
      </c>
      <c r="C110" s="16" t="str">
        <f aca="false">C47</f>
        <v>15-SA-PURE</v>
      </c>
      <c r="D110" s="17" t="n">
        <f aca="false">SUM(G47:G58)</f>
        <v>12</v>
      </c>
      <c r="E110" s="17" t="n">
        <f aca="false">SUM(M47:M58)</f>
        <v>56100</v>
      </c>
      <c r="F110" s="17" t="n">
        <f aca="false">ROUND(E110*5%,2)</f>
        <v>2805</v>
      </c>
      <c r="G110" s="17" t="n">
        <f aca="false">E110+F110</f>
        <v>58905</v>
      </c>
    </row>
    <row r="111" customFormat="false" ht="19.5" hidden="false" customHeight="true" outlineLevel="0" collapsed="false">
      <c r="A111" s="16" t="n">
        <v>8</v>
      </c>
      <c r="B111" s="16" t="n">
        <v>8</v>
      </c>
      <c r="C111" s="16" t="str">
        <f aca="false">C59</f>
        <v>15-SA-PURE</v>
      </c>
      <c r="D111" s="17" t="n">
        <f aca="false">SUM(G59:G63)</f>
        <v>5</v>
      </c>
      <c r="E111" s="17" t="n">
        <f aca="false">SUM(M59:M63)</f>
        <v>24000</v>
      </c>
      <c r="F111" s="17" t="n">
        <f aca="false">ROUND(E111*5%,2)</f>
        <v>1200</v>
      </c>
      <c r="G111" s="17" t="n">
        <f aca="false">E111+F111</f>
        <v>25200</v>
      </c>
    </row>
    <row r="112" customFormat="false" ht="19.5" hidden="false" customHeight="true" outlineLevel="0" collapsed="false">
      <c r="A112" s="16" t="n">
        <v>9</v>
      </c>
      <c r="B112" s="16" t="n">
        <v>9</v>
      </c>
      <c r="C112" s="16" t="str">
        <f aca="false">C64</f>
        <v>15-SA-PURE</v>
      </c>
      <c r="D112" s="17" t="n">
        <f aca="false">SUM(G64:G82)</f>
        <v>19</v>
      </c>
      <c r="E112" s="17" t="n">
        <f aca="false">SUM(M64:M82)</f>
        <v>104500</v>
      </c>
      <c r="F112" s="17" t="n">
        <f aca="false">ROUND(E112*5%,2)</f>
        <v>5225</v>
      </c>
      <c r="G112" s="17" t="n">
        <f aca="false">E112+F112</f>
        <v>109725</v>
      </c>
    </row>
    <row r="113" customFormat="false" ht="19.5" hidden="false" customHeight="true" outlineLevel="0" collapsed="false">
      <c r="A113" s="16" t="n">
        <v>10</v>
      </c>
      <c r="B113" s="16" t="n">
        <v>10</v>
      </c>
      <c r="C113" s="16" t="str">
        <f aca="false">C83</f>
        <v>15-SA-PURE</v>
      </c>
      <c r="D113" s="17" t="n">
        <f aca="false">SUM(G83:G88)</f>
        <v>6</v>
      </c>
      <c r="E113" s="17" t="n">
        <f aca="false">SUM(M83:M88)</f>
        <v>37800</v>
      </c>
      <c r="F113" s="17" t="n">
        <f aca="false">ROUND(E113*5%,2)</f>
        <v>1890</v>
      </c>
      <c r="G113" s="17" t="n">
        <f aca="false">E113+F113</f>
        <v>39690</v>
      </c>
    </row>
    <row r="114" customFormat="false" ht="19.5" hidden="false" customHeight="true" outlineLevel="0" collapsed="false">
      <c r="A114" s="16" t="n">
        <v>11</v>
      </c>
      <c r="B114" s="16" t="n">
        <v>11</v>
      </c>
      <c r="C114" s="16" t="str">
        <f aca="false">C89</f>
        <v>15-SA-PURE</v>
      </c>
      <c r="D114" s="17" t="n">
        <f aca="false">SUM(G89:G90)</f>
        <v>2</v>
      </c>
      <c r="E114" s="17" t="n">
        <f aca="false">SUM(M89:M90)</f>
        <v>23700</v>
      </c>
      <c r="F114" s="17" t="n">
        <f aca="false">ROUND(E114*5%,2)</f>
        <v>1185</v>
      </c>
      <c r="G114" s="17" t="n">
        <f aca="false">E114+F114</f>
        <v>24885</v>
      </c>
    </row>
    <row r="115" customFormat="false" ht="19.5" hidden="false" customHeight="true" outlineLevel="0" collapsed="false">
      <c r="A115" s="16" t="n">
        <v>12</v>
      </c>
      <c r="B115" s="16" t="n">
        <v>12</v>
      </c>
      <c r="C115" s="16" t="str">
        <f aca="false">C91</f>
        <v>15-SA-PURE</v>
      </c>
      <c r="D115" s="17" t="n">
        <f aca="false">SUM(G91:G94)</f>
        <v>4</v>
      </c>
      <c r="E115" s="17" t="n">
        <f aca="false">SUM(M91:M94)</f>
        <v>53200</v>
      </c>
      <c r="F115" s="17" t="n">
        <f aca="false">ROUND(E115*5%,2)</f>
        <v>2660</v>
      </c>
      <c r="G115" s="17" t="n">
        <f aca="false">E115+F115</f>
        <v>55860</v>
      </c>
    </row>
    <row r="116" customFormat="false" ht="19.5" hidden="false" customHeight="true" outlineLevel="0" collapsed="false">
      <c r="A116" s="16" t="n">
        <v>13</v>
      </c>
      <c r="B116" s="16" t="n">
        <v>13</v>
      </c>
      <c r="C116" s="16" t="str">
        <f aca="false">C95</f>
        <v>15-SA-PURE</v>
      </c>
      <c r="D116" s="17" t="n">
        <f aca="false">SUM(G95:G98)</f>
        <v>4</v>
      </c>
      <c r="E116" s="17" t="n">
        <f aca="false">SUM(M95:M98)</f>
        <v>32800</v>
      </c>
      <c r="F116" s="17" t="n">
        <f aca="false">ROUND(E116*5%,2)</f>
        <v>1640</v>
      </c>
      <c r="G116" s="17" t="n">
        <f aca="false">E116+F116</f>
        <v>34440</v>
      </c>
    </row>
    <row r="117" customFormat="false" ht="19.5" hidden="false" customHeight="true" outlineLevel="0" collapsed="false">
      <c r="A117" s="16" t="n">
        <v>14</v>
      </c>
      <c r="B117" s="16" t="n">
        <v>14</v>
      </c>
      <c r="C117" s="16" t="str">
        <f aca="false">C99</f>
        <v>15-SA-PURE</v>
      </c>
      <c r="D117" s="17" t="n">
        <f aca="false">SUM(G99:G99)</f>
        <v>1</v>
      </c>
      <c r="E117" s="17" t="n">
        <f aca="false">SUM(M99:M99)</f>
        <v>7800</v>
      </c>
      <c r="F117" s="17" t="n">
        <f aca="false">ROUND(E117*5%,2)</f>
        <v>390</v>
      </c>
      <c r="G117" s="17" t="n">
        <f aca="false">E117+F117</f>
        <v>8190</v>
      </c>
    </row>
    <row r="118" customFormat="false" ht="19.5" hidden="false" customHeight="true" outlineLevel="0" collapsed="false">
      <c r="A118" s="18" t="s">
        <v>126</v>
      </c>
      <c r="B118" s="19"/>
      <c r="C118" s="19"/>
      <c r="D118" s="20" t="n">
        <f aca="false">SUM(D104:D117)</f>
        <v>97</v>
      </c>
      <c r="E118" s="20" t="n">
        <f aca="false">SUM(E104:E117)</f>
        <v>626100</v>
      </c>
      <c r="F118" s="20" t="n">
        <f aca="false">ROUND(E118*5%,2)</f>
        <v>31305</v>
      </c>
      <c r="G118" s="20" t="n">
        <f aca="false">E118+F118</f>
        <v>657405</v>
      </c>
    </row>
  </sheetData>
  <autoFilter ref="A1:V100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2026-09-08T11:19:37Z</dcterms:created>
  <dc:creator>openpyxl</dc:creator>
  <dc:description/>
  <dc:language>en-US</dc:language>
  <cp:lastModifiedBy>Admin</cp:lastModifiedBy>
  <dcterms:modified xsi:type="dcterms:W3CDTF">2026-09-10T07:33:09Z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