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ized Report" sheetId="1" r:id="rId1"/>
    <sheet name="Item Summar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A3" i="2"/>
  <c r="B2" i="2"/>
  <c r="A2" i="2"/>
  <c r="E18" i="1"/>
  <c r="E3" i="2" s="1"/>
  <c r="D18" i="1"/>
  <c r="D3" i="2" s="1"/>
  <c r="C18" i="1"/>
  <c r="C3" i="2" s="1"/>
  <c r="E17" i="1"/>
  <c r="D17" i="1"/>
  <c r="D19" i="1" s="1"/>
  <c r="C17" i="1"/>
  <c r="C2" i="2" s="1"/>
  <c r="Q13" i="1"/>
  <c r="N13" i="1"/>
  <c r="M13" i="1"/>
  <c r="G13" i="1"/>
  <c r="F18" i="1" l="1"/>
  <c r="F3" i="2" s="1"/>
  <c r="D2" i="2"/>
  <c r="D4" i="2" s="1"/>
  <c r="E2" i="2"/>
  <c r="E4" i="2" s="1"/>
  <c r="F17" i="1"/>
  <c r="E19" i="1"/>
  <c r="F19" i="1" l="1"/>
  <c r="F2" i="2"/>
  <c r="F4" i="2" s="1"/>
  <c r="G18" i="1"/>
  <c r="G3" i="2" s="1"/>
  <c r="G17" i="1"/>
  <c r="G19" i="1" l="1"/>
  <c r="G2" i="2"/>
  <c r="G4" i="2" s="1"/>
</calcChain>
</file>

<file path=xl/sharedStrings.xml><?xml version="1.0" encoding="utf-8"?>
<sst xmlns="http://schemas.openxmlformats.org/spreadsheetml/2006/main" count="83" uniqueCount="45">
  <si>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</si>
  <si>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</si>
  <si>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</si>
  <si>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</si>
  <si>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</si>
  <si>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</si>
  <si>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</si>
  <si>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</si>
  <si>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</si>
  <si>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</si>
  <si>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</si>
  <si>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</si>
  <si>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</si>
  <si>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</si>
  <si>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</si>
  <si>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</si>
  <si>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</si>
  <si>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</si>
  <si>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</si>
  <si>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</si>
  <si>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</si>
  <si>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</si>
  <si>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</si>
  <si>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</si>
  <si>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</si>
  <si>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8A1576</t>
  </si>
  <si>
    <t>15-SA-PURE</t>
  </si>
  <si>
    <t>GST 5 %</t>
  </si>
  <si>
    <t>Pc(s)</t>
  </si>
  <si>
    <t>8A1577</t>
  </si>
  <si>
    <t>8A1578</t>
  </si>
  <si>
    <t>8A1579</t>
  </si>
  <si>
    <t>8A1580</t>
  </si>
  <si>
    <t>8A1581</t>
  </si>
  <si>
    <t>8A1582</t>
  </si>
  <si>
    <t>8A1583</t>
  </si>
  <si>
    <t>8A1584</t>
  </si>
  <si>
    <t>8A1585</t>
  </si>
  <si>
    <t>Total</t>
  </si>
  <si>
    <t>Item Summary</t>
  </si>
  <si>
    <t>Sl No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</si>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</sst>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  <font>
      <b/>
      <sz val="12"/>
      <color rgb="FF1F4E78"/>
      <name val="Calibri"/>
      <charset val="1"/>
    </font>
    <font>
      <b/>
      <sz val="11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9E1F2"/>
        <bgColor rgb="FFD9D9D9"/>
      </patternFill>
    </fill>
    <fill>
      <patternFill patternType="solid">
        <fgColor rgb="FF1F4E78"/>
        <bgColor rgb="FF1F38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10" style="2" customWidth="1"/>
    <col min="2" max="2" width="12" style="2" customWidth="1"/>
    <col min="3" max="3" width="14" style="2" customWidth="1"/>
    <col min="4" max="4" width="11" style="2" customWidth="1"/>
    <col min="5" max="5" width="18" style="2" customWidth="1"/>
    <col min="6" max="6" width="12" style="2" customWidth="1"/>
    <col min="7" max="7" width="14" style="2" customWidth="1"/>
    <col min="8" max="8" width="15" style="2" customWidth="1"/>
    <col min="9" max="9" width="17" style="2" customWidth="1"/>
    <col min="10" max="10" width="14" style="2" customWidth="1"/>
    <col min="11" max="11" width="18" style="2" customWidth="1"/>
    <col min="12" max="12" width="14" style="2" customWidth="1"/>
    <col min="13" max="13" width="13" style="2" customWidth="1"/>
    <col min="14" max="14" width="10" style="2" customWidth="1"/>
    <col min="15" max="15" width="12" style="2" customWidth="1"/>
    <col min="16" max="16" width="10" style="2" customWidth="1"/>
    <col min="17" max="17" width="14" style="2" customWidth="1"/>
    <col min="18" max="20" width="12" style="2" customWidth="1"/>
    <col min="21" max="22" width="11" style="2" customWidth="1"/>
  </cols>
  <sheetData>
    <row r="1" spans="1:22" ht="27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19.5" customHeight="1" x14ac:dyDescent="0.3">
      <c r="A2" s="1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1"/>
      <c r="H2" s="1"/>
      <c r="I2" s="1"/>
      <c r="J2" s="3" t="s">
        <v>20</v>
      </c>
      <c r="K2" s="3" t="s">
        <v>21</v>
      </c>
      <c r="L2" s="1"/>
      <c r="M2" s="1"/>
      <c r="N2" s="3" t="s">
        <v>22</v>
      </c>
      <c r="O2" s="3" t="s">
        <v>23</v>
      </c>
      <c r="P2" s="3" t="s">
        <v>24</v>
      </c>
      <c r="Q2" s="1"/>
      <c r="R2" s="1"/>
      <c r="S2" s="1"/>
      <c r="T2" s="1"/>
      <c r="U2" s="1"/>
      <c r="V2" s="1"/>
    </row>
    <row r="3" spans="1:22" ht="19.5" customHeight="1" x14ac:dyDescent="0.3">
      <c r="A3" s="4">
        <v>1</v>
      </c>
      <c r="B3" s="4" t="s">
        <v>25</v>
      </c>
      <c r="C3" s="4" t="s">
        <v>26</v>
      </c>
      <c r="D3" s="4">
        <v>500720</v>
      </c>
      <c r="E3" s="4" t="s">
        <v>27</v>
      </c>
      <c r="F3" s="4" t="s">
        <v>28</v>
      </c>
      <c r="G3" s="5">
        <v>1</v>
      </c>
      <c r="H3" s="5"/>
      <c r="I3" s="5">
        <v>11800</v>
      </c>
      <c r="J3" s="5">
        <v>0</v>
      </c>
      <c r="K3" s="5">
        <v>0</v>
      </c>
      <c r="L3" s="5">
        <v>11800</v>
      </c>
      <c r="M3" s="5">
        <v>11800</v>
      </c>
      <c r="N3" s="5">
        <v>590</v>
      </c>
      <c r="O3" s="5">
        <v>0</v>
      </c>
      <c r="P3" s="5">
        <v>0</v>
      </c>
      <c r="Q3" s="5">
        <v>12390</v>
      </c>
      <c r="R3" s="5">
        <v>19980</v>
      </c>
      <c r="S3" s="5">
        <v>13570</v>
      </c>
      <c r="T3" s="5">
        <v>15340</v>
      </c>
      <c r="U3" s="4"/>
      <c r="V3" s="4"/>
    </row>
    <row r="4" spans="1:22" ht="19.5" customHeight="1" x14ac:dyDescent="0.3">
      <c r="A4" s="4">
        <v>2</v>
      </c>
      <c r="B4" s="4" t="s">
        <v>29</v>
      </c>
      <c r="C4" s="4" t="s">
        <v>26</v>
      </c>
      <c r="D4" s="4">
        <v>500720</v>
      </c>
      <c r="E4" s="4" t="s">
        <v>27</v>
      </c>
      <c r="F4" s="4" t="s">
        <v>28</v>
      </c>
      <c r="G4" s="5">
        <v>1</v>
      </c>
      <c r="H4" s="5"/>
      <c r="I4" s="5">
        <v>11800</v>
      </c>
      <c r="J4" s="5">
        <v>0</v>
      </c>
      <c r="K4" s="5">
        <v>0</v>
      </c>
      <c r="L4" s="5">
        <v>11800</v>
      </c>
      <c r="M4" s="5">
        <v>11800</v>
      </c>
      <c r="N4" s="5">
        <v>590</v>
      </c>
      <c r="O4" s="5">
        <v>0</v>
      </c>
      <c r="P4" s="5">
        <v>0</v>
      </c>
      <c r="Q4" s="5">
        <v>12390</v>
      </c>
      <c r="R4" s="5">
        <v>19980</v>
      </c>
      <c r="S4" s="5">
        <v>13570</v>
      </c>
      <c r="T4" s="5">
        <v>15340</v>
      </c>
      <c r="U4" s="4"/>
      <c r="V4" s="4"/>
    </row>
    <row r="5" spans="1:22" ht="19.5" customHeight="1" x14ac:dyDescent="0.3">
      <c r="A5" s="4">
        <v>3</v>
      </c>
      <c r="B5" s="4" t="s">
        <v>30</v>
      </c>
      <c r="C5" s="4" t="s">
        <v>26</v>
      </c>
      <c r="D5" s="4">
        <v>500720</v>
      </c>
      <c r="E5" s="4" t="s">
        <v>27</v>
      </c>
      <c r="F5" s="4" t="s">
        <v>28</v>
      </c>
      <c r="G5" s="5">
        <v>1</v>
      </c>
      <c r="H5" s="5"/>
      <c r="I5" s="5">
        <v>11800</v>
      </c>
      <c r="J5" s="5">
        <v>0</v>
      </c>
      <c r="K5" s="5">
        <v>0</v>
      </c>
      <c r="L5" s="5">
        <v>11800</v>
      </c>
      <c r="M5" s="5">
        <v>11800</v>
      </c>
      <c r="N5" s="5">
        <v>590</v>
      </c>
      <c r="O5" s="5">
        <v>0</v>
      </c>
      <c r="P5" s="5">
        <v>0</v>
      </c>
      <c r="Q5" s="5">
        <v>12390</v>
      </c>
      <c r="R5" s="5">
        <v>19980</v>
      </c>
      <c r="S5" s="5">
        <v>13570</v>
      </c>
      <c r="T5" s="5">
        <v>15340</v>
      </c>
      <c r="U5" s="4"/>
      <c r="V5" s="4"/>
    </row>
    <row r="6" spans="1:22" ht="19.5" customHeight="1" x14ac:dyDescent="0.3">
      <c r="A6" s="4">
        <v>4</v>
      </c>
      <c r="B6" s="4" t="s">
        <v>31</v>
      </c>
      <c r="C6" s="4" t="s">
        <v>26</v>
      </c>
      <c r="D6" s="4">
        <v>500720</v>
      </c>
      <c r="E6" s="4" t="s">
        <v>27</v>
      </c>
      <c r="F6" s="4" t="s">
        <v>28</v>
      </c>
      <c r="G6" s="5">
        <v>1</v>
      </c>
      <c r="H6" s="5"/>
      <c r="I6" s="5">
        <v>11800</v>
      </c>
      <c r="J6" s="5">
        <v>0</v>
      </c>
      <c r="K6" s="5">
        <v>0</v>
      </c>
      <c r="L6" s="5">
        <v>11800</v>
      </c>
      <c r="M6" s="5">
        <v>11800</v>
      </c>
      <c r="N6" s="5">
        <v>590</v>
      </c>
      <c r="O6" s="5">
        <v>0</v>
      </c>
      <c r="P6" s="5">
        <v>0</v>
      </c>
      <c r="Q6" s="5">
        <v>12390</v>
      </c>
      <c r="R6" s="5">
        <v>19980</v>
      </c>
      <c r="S6" s="5">
        <v>13570</v>
      </c>
      <c r="T6" s="5">
        <v>15340</v>
      </c>
      <c r="U6" s="4"/>
      <c r="V6" s="4"/>
    </row>
    <row r="7" spans="1:22" ht="19.5" customHeight="1" x14ac:dyDescent="0.3">
      <c r="A7" s="4">
        <v>5</v>
      </c>
      <c r="B7" s="4" t="s">
        <v>32</v>
      </c>
      <c r="C7" s="4" t="s">
        <v>26</v>
      </c>
      <c r="D7" s="4">
        <v>500720</v>
      </c>
      <c r="E7" s="4" t="s">
        <v>27</v>
      </c>
      <c r="F7" s="4" t="s">
        <v>28</v>
      </c>
      <c r="G7" s="5">
        <v>1</v>
      </c>
      <c r="H7" s="5"/>
      <c r="I7" s="5">
        <v>11800</v>
      </c>
      <c r="J7" s="5">
        <v>0</v>
      </c>
      <c r="K7" s="5">
        <v>0</v>
      </c>
      <c r="L7" s="5">
        <v>11800</v>
      </c>
      <c r="M7" s="5">
        <v>11800</v>
      </c>
      <c r="N7" s="5">
        <v>590</v>
      </c>
      <c r="O7" s="5">
        <v>0</v>
      </c>
      <c r="P7" s="5">
        <v>0</v>
      </c>
      <c r="Q7" s="5">
        <v>12390</v>
      </c>
      <c r="R7" s="5">
        <v>19980</v>
      </c>
      <c r="S7" s="5">
        <v>13570</v>
      </c>
      <c r="T7" s="5">
        <v>15340</v>
      </c>
      <c r="U7" s="4"/>
      <c r="V7" s="4"/>
    </row>
    <row r="8" spans="1:22" ht="19.5" customHeight="1" x14ac:dyDescent="0.3">
      <c r="A8" s="4">
        <v>6</v>
      </c>
      <c r="B8" s="4" t="s">
        <v>33</v>
      </c>
      <c r="C8" s="4" t="s">
        <v>26</v>
      </c>
      <c r="D8" s="4">
        <v>500720</v>
      </c>
      <c r="E8" s="4" t="s">
        <v>27</v>
      </c>
      <c r="F8" s="4" t="s">
        <v>28</v>
      </c>
      <c r="G8" s="5">
        <v>1</v>
      </c>
      <c r="H8" s="5"/>
      <c r="I8" s="5">
        <v>11800</v>
      </c>
      <c r="J8" s="5">
        <v>0</v>
      </c>
      <c r="K8" s="5">
        <v>0</v>
      </c>
      <c r="L8" s="5">
        <v>11800</v>
      </c>
      <c r="M8" s="5">
        <v>11800</v>
      </c>
      <c r="N8" s="5">
        <v>590</v>
      </c>
      <c r="O8" s="5">
        <v>0</v>
      </c>
      <c r="P8" s="5">
        <v>0</v>
      </c>
      <c r="Q8" s="5">
        <v>12390</v>
      </c>
      <c r="R8" s="5">
        <v>19980</v>
      </c>
      <c r="S8" s="5">
        <v>13570</v>
      </c>
      <c r="T8" s="5">
        <v>15340</v>
      </c>
      <c r="U8" s="4"/>
      <c r="V8" s="4"/>
    </row>
    <row r="9" spans="1:22" ht="19.5" customHeight="1" x14ac:dyDescent="0.3">
      <c r="A9" s="4">
        <v>7</v>
      </c>
      <c r="B9" s="4" t="s">
        <v>34</v>
      </c>
      <c r="C9" s="4" t="s">
        <v>26</v>
      </c>
      <c r="D9" s="4">
        <v>500720</v>
      </c>
      <c r="E9" s="4" t="s">
        <v>27</v>
      </c>
      <c r="F9" s="4" t="s">
        <v>28</v>
      </c>
      <c r="G9" s="5">
        <v>1</v>
      </c>
      <c r="H9" s="5"/>
      <c r="I9" s="5">
        <v>11800</v>
      </c>
      <c r="J9" s="5">
        <v>0</v>
      </c>
      <c r="K9" s="5">
        <v>0</v>
      </c>
      <c r="L9" s="5">
        <v>11800</v>
      </c>
      <c r="M9" s="5">
        <v>11800</v>
      </c>
      <c r="N9" s="5">
        <v>590</v>
      </c>
      <c r="O9" s="5">
        <v>0</v>
      </c>
      <c r="P9" s="5">
        <v>0</v>
      </c>
      <c r="Q9" s="5">
        <v>12390</v>
      </c>
      <c r="R9" s="5">
        <v>19980</v>
      </c>
      <c r="S9" s="5">
        <v>13570</v>
      </c>
      <c r="T9" s="5">
        <v>15340</v>
      </c>
      <c r="U9" s="4"/>
      <c r="V9" s="4"/>
    </row>
    <row r="10" spans="1:22" ht="19.5" customHeight="1" x14ac:dyDescent="0.3">
      <c r="A10" s="4">
        <v>8</v>
      </c>
      <c r="B10" s="4" t="s">
        <v>35</v>
      </c>
      <c r="C10" s="4" t="s">
        <v>26</v>
      </c>
      <c r="D10" s="4">
        <v>500720</v>
      </c>
      <c r="E10" s="4" t="s">
        <v>27</v>
      </c>
      <c r="F10" s="4" t="s">
        <v>28</v>
      </c>
      <c r="G10" s="5">
        <v>1</v>
      </c>
      <c r="H10" s="5"/>
      <c r="I10" s="5">
        <v>11800</v>
      </c>
      <c r="J10" s="5">
        <v>0</v>
      </c>
      <c r="K10" s="5">
        <v>0</v>
      </c>
      <c r="L10" s="5">
        <v>11800</v>
      </c>
      <c r="M10" s="5">
        <v>11800</v>
      </c>
      <c r="N10" s="5">
        <v>590</v>
      </c>
      <c r="O10" s="5">
        <v>0</v>
      </c>
      <c r="P10" s="5">
        <v>0</v>
      </c>
      <c r="Q10" s="5">
        <v>12390</v>
      </c>
      <c r="R10" s="5">
        <v>19980</v>
      </c>
      <c r="S10" s="5">
        <v>13570</v>
      </c>
      <c r="T10" s="5">
        <v>15340</v>
      </c>
      <c r="U10" s="4"/>
      <c r="V10" s="4"/>
    </row>
    <row r="11" spans="1:22" ht="19.5" customHeight="1" x14ac:dyDescent="0.3">
      <c r="A11" s="4">
        <v>9</v>
      </c>
      <c r="B11" s="4" t="s">
        <v>36</v>
      </c>
      <c r="C11" s="4" t="s">
        <v>26</v>
      </c>
      <c r="D11" s="4">
        <v>500720</v>
      </c>
      <c r="E11" s="4" t="s">
        <v>27</v>
      </c>
      <c r="F11" s="4" t="s">
        <v>28</v>
      </c>
      <c r="G11" s="5">
        <v>1</v>
      </c>
      <c r="H11" s="5"/>
      <c r="I11" s="5">
        <v>11800</v>
      </c>
      <c r="J11" s="5">
        <v>0</v>
      </c>
      <c r="K11" s="5">
        <v>0</v>
      </c>
      <c r="L11" s="5">
        <v>11800</v>
      </c>
      <c r="M11" s="5">
        <v>11800</v>
      </c>
      <c r="N11" s="5">
        <v>590</v>
      </c>
      <c r="O11" s="5">
        <v>0</v>
      </c>
      <c r="P11" s="5">
        <v>0</v>
      </c>
      <c r="Q11" s="5">
        <v>12390</v>
      </c>
      <c r="R11" s="5">
        <v>19980</v>
      </c>
      <c r="S11" s="5">
        <v>13570</v>
      </c>
      <c r="T11" s="5">
        <v>15340</v>
      </c>
      <c r="U11" s="4"/>
      <c r="V11" s="4"/>
    </row>
    <row r="12" spans="1:22" ht="15" customHeight="1" x14ac:dyDescent="0.3">
      <c r="A12" s="4">
        <v>10</v>
      </c>
      <c r="B12" s="4" t="s">
        <v>37</v>
      </c>
      <c r="C12" s="4" t="s">
        <v>26</v>
      </c>
      <c r="D12" s="4">
        <v>500720</v>
      </c>
      <c r="E12" s="4" t="s">
        <v>27</v>
      </c>
      <c r="F12" s="4" t="s">
        <v>28</v>
      </c>
      <c r="G12" s="5">
        <v>1</v>
      </c>
      <c r="H12" s="5"/>
      <c r="I12" s="5">
        <v>12500</v>
      </c>
      <c r="J12" s="5">
        <v>0</v>
      </c>
      <c r="K12" s="5">
        <v>0</v>
      </c>
      <c r="L12" s="5">
        <v>12500</v>
      </c>
      <c r="M12" s="5">
        <v>12500</v>
      </c>
      <c r="N12" s="5">
        <v>625</v>
      </c>
      <c r="O12" s="5">
        <v>0</v>
      </c>
      <c r="P12" s="5">
        <v>0</v>
      </c>
      <c r="Q12" s="5">
        <v>13125</v>
      </c>
      <c r="R12" s="5">
        <v>21980</v>
      </c>
      <c r="S12" s="5">
        <v>14375</v>
      </c>
      <c r="T12" s="5">
        <v>16250</v>
      </c>
      <c r="U12" s="4"/>
      <c r="V12" s="4"/>
    </row>
    <row r="13" spans="1:22" ht="14.25" customHeight="1" x14ac:dyDescent="0.3">
      <c r="A13" s="6" t="s">
        <v>38</v>
      </c>
      <c r="B13" s="6"/>
      <c r="C13" s="6"/>
      <c r="D13" s="6"/>
      <c r="E13" s="6"/>
      <c r="F13" s="6"/>
      <c r="G13" s="7">
        <f>SUM(G3:G12)</f>
        <v>10</v>
      </c>
      <c r="H13" s="7"/>
      <c r="I13" s="7"/>
      <c r="J13" s="7"/>
      <c r="K13" s="7"/>
      <c r="L13" s="7"/>
      <c r="M13" s="7">
        <f>SUM(M3:M12)</f>
        <v>118700</v>
      </c>
      <c r="N13" s="7">
        <f>SUM(N3:N12)</f>
        <v>5935</v>
      </c>
      <c r="O13" s="7"/>
      <c r="P13" s="7"/>
      <c r="Q13" s="7">
        <f>SUM(Q3:Q12)</f>
        <v>124635</v>
      </c>
      <c r="R13" s="7"/>
      <c r="S13" s="7"/>
      <c r="T13" s="7"/>
      <c r="U13" s="6"/>
      <c r="V13" s="6"/>
    </row>
    <row r="14" spans="1:22" ht="15" customHeight="1" x14ac:dyDescent="0.3"/>
    <row r="15" spans="1:22" ht="21.75" customHeight="1" x14ac:dyDescent="0.3">
      <c r="A15" s="8" t="s">
        <v>39</v>
      </c>
    </row>
    <row r="16" spans="1:22" ht="18" customHeight="1" x14ac:dyDescent="0.3">
      <c r="A16" s="9" t="s">
        <v>40</v>
      </c>
      <c r="B16" s="9" t="s">
        <v>41</v>
      </c>
      <c r="C16" s="9" t="s">
        <v>42</v>
      </c>
      <c r="D16" s="9" t="s">
        <v>43</v>
      </c>
      <c r="E16" s="9" t="s">
        <v>44</v>
      </c>
      <c r="F16" s="9" t="s">
        <v>8</v>
      </c>
      <c r="G16" s="9" t="s">
        <v>9</v>
      </c>
    </row>
    <row r="17" spans="1:7" ht="18" customHeight="1" x14ac:dyDescent="0.3">
      <c r="A17" s="4">
        <v>1</v>
      </c>
      <c r="B17" s="4">
        <v>1</v>
      </c>
      <c r="C17" s="4" t="str">
        <f>C3</f>
        <v>15-SA-PURE</v>
      </c>
      <c r="D17" s="5">
        <f>SUM(G3:G11)</f>
        <v>9</v>
      </c>
      <c r="E17" s="5">
        <f>SUM(M3:M11)</f>
        <v>106200</v>
      </c>
      <c r="F17" s="5">
        <f>ROUND(E17*5%,2)</f>
        <v>5310</v>
      </c>
      <c r="G17" s="5">
        <f>E17+F17</f>
        <v>111510</v>
      </c>
    </row>
    <row r="18" spans="1:7" ht="15" customHeight="1" x14ac:dyDescent="0.3">
      <c r="A18" s="4">
        <v>2</v>
      </c>
      <c r="B18" s="4">
        <v>2</v>
      </c>
      <c r="C18" s="4" t="str">
        <f>C12</f>
        <v>15-SA-PURE</v>
      </c>
      <c r="D18" s="5">
        <f>SUM(G12:G12)</f>
        <v>1</v>
      </c>
      <c r="E18" s="5">
        <f>SUM(M12:M12)</f>
        <v>12500</v>
      </c>
      <c r="F18" s="5">
        <f>ROUND(E18*5%,2)</f>
        <v>625</v>
      </c>
      <c r="G18" s="5">
        <f>E18+F18</f>
        <v>13125</v>
      </c>
    </row>
    <row r="19" spans="1:7" ht="14.25" customHeight="1" x14ac:dyDescent="0.3">
      <c r="A19" s="6" t="s">
        <v>38</v>
      </c>
      <c r="B19" s="6"/>
      <c r="C19" s="6"/>
      <c r="D19" s="7">
        <f>SUM(D17:D18)</f>
        <v>10</v>
      </c>
      <c r="E19" s="7">
        <f>SUM(E17:E18)</f>
        <v>118700</v>
      </c>
      <c r="F19" s="7">
        <f>SUM(F17:F18)</f>
        <v>5935</v>
      </c>
      <c r="G19" s="7">
        <f>SUM(G17:G18)</f>
        <v>124635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zoomScaleNormal="100" workbookViewId="0"/>
  </sheetViews>
  <sheetFormatPr defaultColWidth="8.6640625" defaultRowHeight="14.4" x14ac:dyDescent="0.3"/>
  <cols>
    <col min="1" max="1" width="10" style="2" customWidth="1"/>
    <col min="2" max="2" width="12" style="2" customWidth="1"/>
    <col min="3" max="3" width="16" style="2" customWidth="1"/>
    <col min="4" max="4" width="10" style="2" customWidth="1"/>
    <col min="5" max="5" width="18" style="2" customWidth="1"/>
    <col min="6" max="7" width="14" style="2" customWidth="1"/>
  </cols>
  <sheetData>
    <row r="1" spans="1:7" ht="24.75" customHeight="1" x14ac:dyDescent="0.3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8</v>
      </c>
      <c r="G1" s="9" t="s">
        <v>9</v>
      </c>
    </row>
    <row r="2" spans="1:7" ht="19.5" customHeight="1" x14ac:dyDescent="0.3">
      <c r="A2" s="4">
        <f>'Itemized Report'!A17</f>
        <v>1</v>
      </c>
      <c r="B2" s="4">
        <f>'Itemized Report'!B17</f>
        <v>1</v>
      </c>
      <c r="C2" s="4" t="str">
        <f>'Itemized Report'!C17</f>
        <v>15-SA-PURE</v>
      </c>
      <c r="D2" s="5">
        <f>'Itemized Report'!D17</f>
        <v>9</v>
      </c>
      <c r="E2" s="5">
        <f>'Itemized Report'!E17</f>
        <v>106200</v>
      </c>
      <c r="F2" s="5">
        <f>'Itemized Report'!F17</f>
        <v>5310</v>
      </c>
      <c r="G2" s="5">
        <f>'Itemized Report'!G17</f>
        <v>111510</v>
      </c>
    </row>
    <row r="3" spans="1:7" ht="19.5" customHeight="1" x14ac:dyDescent="0.3">
      <c r="A3" s="4">
        <f>'Itemized Report'!A18</f>
        <v>2</v>
      </c>
      <c r="B3" s="4">
        <f>'Itemized Report'!B18</f>
        <v>2</v>
      </c>
      <c r="C3" s="4" t="str">
        <f>'Itemized Report'!C18</f>
        <v>15-SA-PURE</v>
      </c>
      <c r="D3" s="5">
        <f>'Itemized Report'!D18</f>
        <v>1</v>
      </c>
      <c r="E3" s="5">
        <f>'Itemized Report'!E18</f>
        <v>12500</v>
      </c>
      <c r="F3" s="5">
        <f>'Itemized Report'!F18</f>
        <v>625</v>
      </c>
      <c r="G3" s="5">
        <f>'Itemized Report'!G18</f>
        <v>13125</v>
      </c>
    </row>
    <row r="4" spans="1:7" ht="15" customHeight="1" x14ac:dyDescent="0.3">
      <c r="A4" s="6" t="s">
        <v>38</v>
      </c>
      <c r="B4" s="6"/>
      <c r="C4" s="6"/>
      <c r="D4" s="7">
        <f>SUM(D2:D3)</f>
        <v>10</v>
      </c>
      <c r="E4" s="7">
        <f>SUM(E2:E3)</f>
        <v>118700</v>
      </c>
      <c r="F4" s="7">
        <f>SUM(F2:F3)</f>
        <v>5935</v>
      </c>
      <c r="G4" s="7">
        <f>SUM(G2:G3)</f>
        <v>124635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Itemized Report</vt:lpstr>
      <vt:lpstr>Item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2026-09-10T09:51:31Z</dcterms:created>
  <dcterms:modified xsi:type="dcterms:W3CDTF">2026-09-11T08:29:03Z</dcterms:modified>
  <dc:language>en-US</dc:language>
</cp:coreProperties>
</file>