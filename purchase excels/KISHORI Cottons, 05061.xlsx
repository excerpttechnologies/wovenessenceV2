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_Entry" sheetId="1" state="visible" r:id="rId3"/>
  </sheets>
  <definedNames>
    <definedName function="false" hidden="true" localSheetId="0" name="_xlnm._FilterDatabase" vbProcedure="false">Purchase_Entry!$A$1:$V$18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2" authorId="0">
      <text>
        <r>
          <rPr>
            <sz val="10"/>
            <rFont val="Arial"/>
            <family val="2"/>
          </rPr>
          <t xml:space="preserve">Bill worked as total QTY x Final Rate (133.95), as in the software. GST @ 5% (IGST) and Net = QTY x Rate x 1.05, each rounded to 2 decimals.</t>
        </r>
      </text>
    </comment>
  </commentList>
</comments>
</file>

<file path=xl/sharedStrings.xml><?xml version="1.0" encoding="utf-8"?>
<sst xmlns="http://schemas.openxmlformats.org/spreadsheetml/2006/main" count="110" uniqueCount="50">
  <si>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</si>
  <si>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</si>
  <si>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</si>
  <si>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</si>
  <si>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</si>
  <si>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</si>
  <si>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</si>
  <si>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</si>
  <si>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</si>
  <si>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</si>
  <si>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</si>
  <si>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</si>
  <si>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</si>
  <si>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</si>
  <si>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</si>
  <si>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</si>
  <si>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</si>
  <si>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</si>
  <si>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</si>
  <si>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</si>
  <si>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</si>
  <si>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</si>
  <si>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</si>
  <si>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</si>
  <si>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</si>
  <si>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8A1122</t>
  </si>
  <si>
    <t xml:space="preserve">4-F-CTN</t>
  </si>
  <si>
    <t xml:space="preserve">52081120</t>
  </si>
  <si>
    <t xml:space="preserve">GST 5 %</t>
  </si>
  <si>
    <t xml:space="preserve">Mtr</t>
  </si>
  <si>
    <t xml:space="preserve">8A1123</t>
  </si>
  <si>
    <t xml:space="preserve">8A1124</t>
  </si>
  <si>
    <t xml:space="preserve">8A1125</t>
  </si>
  <si>
    <t xml:space="preserve">8A1126</t>
  </si>
  <si>
    <t xml:space="preserve">8A1127</t>
  </si>
  <si>
    <t xml:space="preserve">8A1128</t>
  </si>
  <si>
    <t xml:space="preserve">8A1129</t>
  </si>
  <si>
    <t xml:space="preserve">8A1130</t>
  </si>
  <si>
    <t xml:space="preserve">8A1131</t>
  </si>
  <si>
    <t xml:space="preserve">8A1132</t>
  </si>
  <si>
    <t xml:space="preserve">8A1133</t>
  </si>
  <si>
    <t xml:space="preserve">8A1134</t>
  </si>
  <si>
    <t xml:space="preserve">8A1135</t>
  </si>
  <si>
    <t xml:space="preserve">8A1136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</si>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</sst>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366092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66092"/>
      </patternFill>
    </fill>
    <fill>
      <patternFill patternType="solid">
        <fgColor rgb="FF366092"/>
        <bgColor rgb="FF1F4E78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366092"/>
      </top>
      <bottom style="double">
        <color rgb="FF36609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6609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I7" activeCellId="0" sqref="I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1" min="10" style="0" width="12"/>
    <col collapsed="false" customWidth="true" hidden="false" outlineLevel="0" max="14" min="12" style="0" width="14"/>
    <col collapsed="false" customWidth="true" hidden="false" outlineLevel="0" max="16" min="15" style="0" width="12"/>
    <col collapsed="false" customWidth="true" hidden="false" outlineLevel="0" max="17" min="17" style="0" width="14"/>
    <col collapsed="false" customWidth="true" hidden="false" outlineLevel="0" max="22" min="18" style="0" width="12"/>
  </cols>
  <sheetData>
    <row r="1" customFormat="false" ht="19.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9.5" hidden="false" customHeight="tru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4.25" hidden="false" customHeight="false" outlineLevel="0" collapsed="false">
      <c r="A3" s="3" t="n">
        <v>1</v>
      </c>
      <c r="B3" s="3" t="s">
        <v>25</v>
      </c>
      <c r="C3" s="4" t="s">
        <v>26</v>
      </c>
      <c r="D3" s="5" t="s">
        <v>27</v>
      </c>
      <c r="E3" s="3" t="s">
        <v>28</v>
      </c>
      <c r="F3" s="3" t="s">
        <v>29</v>
      </c>
      <c r="G3" s="6" t="n">
        <v>10.1</v>
      </c>
      <c r="H3" s="7" t="n">
        <v>15</v>
      </c>
      <c r="I3" s="6" t="n">
        <v>141</v>
      </c>
      <c r="J3" s="6" t="n">
        <v>7.05</v>
      </c>
      <c r="K3" s="6" t="n">
        <v>0</v>
      </c>
      <c r="L3" s="6" t="n">
        <v>133.95</v>
      </c>
      <c r="M3" s="6" t="n">
        <v>1352.9</v>
      </c>
      <c r="N3" s="6" t="n">
        <v>67.64</v>
      </c>
      <c r="O3" s="6" t="n">
        <v>0</v>
      </c>
      <c r="P3" s="6" t="n">
        <v>0</v>
      </c>
      <c r="Q3" s="6" t="n">
        <v>1420.54</v>
      </c>
      <c r="R3" s="6" t="n">
        <v>280</v>
      </c>
      <c r="S3" s="6" t="n">
        <v>162.15</v>
      </c>
      <c r="T3" s="6" t="n">
        <v>183.3</v>
      </c>
      <c r="U3" s="8"/>
      <c r="V3" s="8"/>
    </row>
    <row r="4" customFormat="false" ht="14.25" hidden="false" customHeight="false" outlineLevel="0" collapsed="false">
      <c r="A4" s="9" t="n">
        <v>2</v>
      </c>
      <c r="B4" s="9" t="s">
        <v>30</v>
      </c>
      <c r="C4" s="10" t="s">
        <v>26</v>
      </c>
      <c r="D4" s="11" t="s">
        <v>27</v>
      </c>
      <c r="E4" s="9" t="s">
        <v>28</v>
      </c>
      <c r="F4" s="9" t="s">
        <v>29</v>
      </c>
      <c r="G4" s="12" t="n">
        <v>9.9</v>
      </c>
      <c r="H4" s="13" t="n">
        <v>15</v>
      </c>
      <c r="I4" s="12" t="n">
        <v>141</v>
      </c>
      <c r="J4" s="12" t="n">
        <v>7.05</v>
      </c>
      <c r="K4" s="12" t="n">
        <v>0</v>
      </c>
      <c r="L4" s="12" t="n">
        <v>133.95</v>
      </c>
      <c r="M4" s="12" t="n">
        <v>1326.11</v>
      </c>
      <c r="N4" s="12" t="n">
        <v>66.31</v>
      </c>
      <c r="O4" s="12" t="n">
        <v>0</v>
      </c>
      <c r="P4" s="12" t="n">
        <v>0</v>
      </c>
      <c r="Q4" s="12" t="n">
        <v>1392.41</v>
      </c>
      <c r="R4" s="12" t="n">
        <v>280</v>
      </c>
      <c r="S4" s="12" t="n">
        <v>162.15</v>
      </c>
      <c r="T4" s="12" t="n">
        <v>183.3</v>
      </c>
      <c r="U4" s="14"/>
      <c r="V4" s="14"/>
    </row>
    <row r="5" customFormat="false" ht="14.25" hidden="false" customHeight="false" outlineLevel="0" collapsed="false">
      <c r="A5" s="3" t="n">
        <v>3</v>
      </c>
      <c r="B5" s="3" t="s">
        <v>31</v>
      </c>
      <c r="C5" s="4" t="s">
        <v>26</v>
      </c>
      <c r="D5" s="5" t="s">
        <v>27</v>
      </c>
      <c r="E5" s="3" t="s">
        <v>28</v>
      </c>
      <c r="F5" s="3" t="s">
        <v>29</v>
      </c>
      <c r="G5" s="6" t="n">
        <v>10.2</v>
      </c>
      <c r="H5" s="7" t="n">
        <v>15</v>
      </c>
      <c r="I5" s="6" t="n">
        <v>141</v>
      </c>
      <c r="J5" s="6" t="n">
        <v>7.05</v>
      </c>
      <c r="K5" s="6" t="n">
        <v>0</v>
      </c>
      <c r="L5" s="6" t="n">
        <v>133.95</v>
      </c>
      <c r="M5" s="6" t="n">
        <v>1366.29</v>
      </c>
      <c r="N5" s="6" t="n">
        <v>68.31</v>
      </c>
      <c r="O5" s="6" t="n">
        <v>0</v>
      </c>
      <c r="P5" s="6" t="n">
        <v>0</v>
      </c>
      <c r="Q5" s="6" t="n">
        <v>1434.6</v>
      </c>
      <c r="R5" s="6" t="n">
        <v>280</v>
      </c>
      <c r="S5" s="6" t="n">
        <v>162.15</v>
      </c>
      <c r="T5" s="6" t="n">
        <v>183.3</v>
      </c>
      <c r="U5" s="8"/>
      <c r="V5" s="8"/>
    </row>
    <row r="6" customFormat="false" ht="14.25" hidden="false" customHeight="false" outlineLevel="0" collapsed="false">
      <c r="A6" s="9" t="n">
        <v>4</v>
      </c>
      <c r="B6" s="9" t="s">
        <v>32</v>
      </c>
      <c r="C6" s="10" t="s">
        <v>26</v>
      </c>
      <c r="D6" s="11" t="s">
        <v>27</v>
      </c>
      <c r="E6" s="9" t="s">
        <v>28</v>
      </c>
      <c r="F6" s="9" t="s">
        <v>29</v>
      </c>
      <c r="G6" s="12" t="n">
        <v>10</v>
      </c>
      <c r="H6" s="13" t="n">
        <v>15</v>
      </c>
      <c r="I6" s="12" t="n">
        <v>141</v>
      </c>
      <c r="J6" s="12" t="n">
        <v>7.05</v>
      </c>
      <c r="K6" s="12" t="n">
        <v>0</v>
      </c>
      <c r="L6" s="12" t="n">
        <v>133.95</v>
      </c>
      <c r="M6" s="12" t="n">
        <v>1339.5</v>
      </c>
      <c r="N6" s="12" t="n">
        <v>66.98</v>
      </c>
      <c r="O6" s="12" t="n">
        <v>0</v>
      </c>
      <c r="P6" s="12" t="n">
        <v>0</v>
      </c>
      <c r="Q6" s="12" t="n">
        <v>1406.48</v>
      </c>
      <c r="R6" s="12" t="n">
        <v>280</v>
      </c>
      <c r="S6" s="12" t="n">
        <v>162.15</v>
      </c>
      <c r="T6" s="12" t="n">
        <v>183.3</v>
      </c>
      <c r="U6" s="14"/>
      <c r="V6" s="14"/>
    </row>
    <row r="7" customFormat="false" ht="14.25" hidden="false" customHeight="false" outlineLevel="0" collapsed="false">
      <c r="A7" s="3" t="n">
        <v>5</v>
      </c>
      <c r="B7" s="3" t="s">
        <v>33</v>
      </c>
      <c r="C7" s="4" t="s">
        <v>26</v>
      </c>
      <c r="D7" s="5" t="s">
        <v>27</v>
      </c>
      <c r="E7" s="3" t="s">
        <v>28</v>
      </c>
      <c r="F7" s="3" t="s">
        <v>29</v>
      </c>
      <c r="G7" s="6" t="n">
        <v>10</v>
      </c>
      <c r="H7" s="7" t="n">
        <v>15</v>
      </c>
      <c r="I7" s="6" t="n">
        <v>141</v>
      </c>
      <c r="J7" s="6" t="n">
        <v>7.05</v>
      </c>
      <c r="K7" s="6" t="n">
        <v>0</v>
      </c>
      <c r="L7" s="6" t="n">
        <v>133.95</v>
      </c>
      <c r="M7" s="6" t="n">
        <v>1339.5</v>
      </c>
      <c r="N7" s="6" t="n">
        <v>66.98</v>
      </c>
      <c r="O7" s="6" t="n">
        <v>0</v>
      </c>
      <c r="P7" s="6" t="n">
        <v>0</v>
      </c>
      <c r="Q7" s="6" t="n">
        <v>1406.48</v>
      </c>
      <c r="R7" s="6" t="n">
        <v>280</v>
      </c>
      <c r="S7" s="6" t="n">
        <v>162.15</v>
      </c>
      <c r="T7" s="6" t="n">
        <v>183.3</v>
      </c>
      <c r="U7" s="8"/>
      <c r="V7" s="8"/>
    </row>
    <row r="8" customFormat="false" ht="14.25" hidden="false" customHeight="false" outlineLevel="0" collapsed="false">
      <c r="A8" s="9" t="n">
        <v>6</v>
      </c>
      <c r="B8" s="9" t="s">
        <v>34</v>
      </c>
      <c r="C8" s="10" t="s">
        <v>26</v>
      </c>
      <c r="D8" s="11" t="s">
        <v>27</v>
      </c>
      <c r="E8" s="9" t="s">
        <v>28</v>
      </c>
      <c r="F8" s="9" t="s">
        <v>29</v>
      </c>
      <c r="G8" s="12" t="n">
        <v>9.8</v>
      </c>
      <c r="H8" s="13" t="n">
        <v>15</v>
      </c>
      <c r="I8" s="12" t="n">
        <v>141</v>
      </c>
      <c r="J8" s="12" t="n">
        <v>7.05</v>
      </c>
      <c r="K8" s="12" t="n">
        <v>0</v>
      </c>
      <c r="L8" s="12" t="n">
        <v>133.95</v>
      </c>
      <c r="M8" s="12" t="n">
        <v>1312.71</v>
      </c>
      <c r="N8" s="12" t="n">
        <v>65.64</v>
      </c>
      <c r="O8" s="12" t="n">
        <v>0</v>
      </c>
      <c r="P8" s="12" t="n">
        <v>0</v>
      </c>
      <c r="Q8" s="12" t="n">
        <v>1378.35</v>
      </c>
      <c r="R8" s="12" t="n">
        <v>280</v>
      </c>
      <c r="S8" s="12" t="n">
        <v>162.15</v>
      </c>
      <c r="T8" s="12" t="n">
        <v>183.3</v>
      </c>
      <c r="U8" s="14"/>
      <c r="V8" s="14"/>
    </row>
    <row r="9" customFormat="false" ht="14.25" hidden="false" customHeight="false" outlineLevel="0" collapsed="false">
      <c r="A9" s="3" t="n">
        <v>7</v>
      </c>
      <c r="B9" s="3" t="s">
        <v>35</v>
      </c>
      <c r="C9" s="4" t="s">
        <v>26</v>
      </c>
      <c r="D9" s="5" t="s">
        <v>27</v>
      </c>
      <c r="E9" s="3" t="s">
        <v>28</v>
      </c>
      <c r="F9" s="3" t="s">
        <v>29</v>
      </c>
      <c r="G9" s="6" t="n">
        <v>10</v>
      </c>
      <c r="H9" s="7" t="n">
        <v>15</v>
      </c>
      <c r="I9" s="6" t="n">
        <v>141</v>
      </c>
      <c r="J9" s="6" t="n">
        <v>7.05</v>
      </c>
      <c r="K9" s="6" t="n">
        <v>0</v>
      </c>
      <c r="L9" s="6" t="n">
        <v>133.95</v>
      </c>
      <c r="M9" s="6" t="n">
        <v>1339.5</v>
      </c>
      <c r="N9" s="6" t="n">
        <v>66.98</v>
      </c>
      <c r="O9" s="6" t="n">
        <v>0</v>
      </c>
      <c r="P9" s="6" t="n">
        <v>0</v>
      </c>
      <c r="Q9" s="6" t="n">
        <v>1406.48</v>
      </c>
      <c r="R9" s="6" t="n">
        <v>280</v>
      </c>
      <c r="S9" s="6" t="n">
        <v>162.15</v>
      </c>
      <c r="T9" s="6" t="n">
        <v>183.3</v>
      </c>
      <c r="U9" s="8"/>
      <c r="V9" s="8"/>
    </row>
    <row r="10" customFormat="false" ht="14.25" hidden="false" customHeight="false" outlineLevel="0" collapsed="false">
      <c r="A10" s="9" t="n">
        <v>8</v>
      </c>
      <c r="B10" s="9" t="s">
        <v>36</v>
      </c>
      <c r="C10" s="10" t="s">
        <v>26</v>
      </c>
      <c r="D10" s="11" t="s">
        <v>27</v>
      </c>
      <c r="E10" s="9" t="s">
        <v>28</v>
      </c>
      <c r="F10" s="9" t="s">
        <v>29</v>
      </c>
      <c r="G10" s="12" t="n">
        <v>9.9</v>
      </c>
      <c r="H10" s="13" t="n">
        <v>15</v>
      </c>
      <c r="I10" s="12" t="n">
        <v>141</v>
      </c>
      <c r="J10" s="12" t="n">
        <v>7.05</v>
      </c>
      <c r="K10" s="12" t="n">
        <v>0</v>
      </c>
      <c r="L10" s="12" t="n">
        <v>133.95</v>
      </c>
      <c r="M10" s="12" t="n">
        <v>1326.11</v>
      </c>
      <c r="N10" s="12" t="n">
        <v>66.31</v>
      </c>
      <c r="O10" s="12" t="n">
        <v>0</v>
      </c>
      <c r="P10" s="12" t="n">
        <v>0</v>
      </c>
      <c r="Q10" s="12" t="n">
        <v>1392.41</v>
      </c>
      <c r="R10" s="12" t="n">
        <v>280</v>
      </c>
      <c r="S10" s="12" t="n">
        <v>162.15</v>
      </c>
      <c r="T10" s="12" t="n">
        <v>183.3</v>
      </c>
      <c r="U10" s="14"/>
      <c r="V10" s="14"/>
    </row>
    <row r="11" customFormat="false" ht="14.25" hidden="false" customHeight="false" outlineLevel="0" collapsed="false">
      <c r="A11" s="3" t="n">
        <v>9</v>
      </c>
      <c r="B11" s="3" t="s">
        <v>37</v>
      </c>
      <c r="C11" s="4" t="s">
        <v>26</v>
      </c>
      <c r="D11" s="5" t="s">
        <v>27</v>
      </c>
      <c r="E11" s="3" t="s">
        <v>28</v>
      </c>
      <c r="F11" s="3" t="s">
        <v>29</v>
      </c>
      <c r="G11" s="6" t="n">
        <v>10</v>
      </c>
      <c r="H11" s="7" t="n">
        <v>15</v>
      </c>
      <c r="I11" s="6" t="n">
        <v>141</v>
      </c>
      <c r="J11" s="6" t="n">
        <v>7.05</v>
      </c>
      <c r="K11" s="6" t="n">
        <v>0</v>
      </c>
      <c r="L11" s="6" t="n">
        <v>133.95</v>
      </c>
      <c r="M11" s="6" t="n">
        <v>1339.5</v>
      </c>
      <c r="N11" s="6" t="n">
        <v>66.98</v>
      </c>
      <c r="O11" s="6" t="n">
        <v>0</v>
      </c>
      <c r="P11" s="6" t="n">
        <v>0</v>
      </c>
      <c r="Q11" s="6" t="n">
        <v>1406.48</v>
      </c>
      <c r="R11" s="6" t="n">
        <v>280</v>
      </c>
      <c r="S11" s="6" t="n">
        <v>162.15</v>
      </c>
      <c r="T11" s="6" t="n">
        <v>183.3</v>
      </c>
      <c r="U11" s="8"/>
      <c r="V11" s="8"/>
    </row>
    <row r="12" customFormat="false" ht="14.25" hidden="false" customHeight="false" outlineLevel="0" collapsed="false">
      <c r="A12" s="9" t="n">
        <v>10</v>
      </c>
      <c r="B12" s="9" t="s">
        <v>38</v>
      </c>
      <c r="C12" s="10" t="s">
        <v>26</v>
      </c>
      <c r="D12" s="11" t="s">
        <v>27</v>
      </c>
      <c r="E12" s="9" t="s">
        <v>28</v>
      </c>
      <c r="F12" s="9" t="s">
        <v>29</v>
      </c>
      <c r="G12" s="12" t="n">
        <v>9.8</v>
      </c>
      <c r="H12" s="13" t="n">
        <v>15</v>
      </c>
      <c r="I12" s="12" t="n">
        <v>141</v>
      </c>
      <c r="J12" s="12" t="n">
        <v>7.05</v>
      </c>
      <c r="K12" s="12" t="n">
        <v>0</v>
      </c>
      <c r="L12" s="12" t="n">
        <v>133.95</v>
      </c>
      <c r="M12" s="12" t="n">
        <v>1312.71</v>
      </c>
      <c r="N12" s="12" t="n">
        <v>65.64</v>
      </c>
      <c r="O12" s="12" t="n">
        <v>0</v>
      </c>
      <c r="P12" s="12" t="n">
        <v>0</v>
      </c>
      <c r="Q12" s="12" t="n">
        <v>1378.35</v>
      </c>
      <c r="R12" s="12" t="n">
        <v>280</v>
      </c>
      <c r="S12" s="12" t="n">
        <v>162.15</v>
      </c>
      <c r="T12" s="12" t="n">
        <v>183.3</v>
      </c>
      <c r="U12" s="14"/>
      <c r="V12" s="14"/>
    </row>
    <row r="13" customFormat="false" ht="14.25" hidden="false" customHeight="false" outlineLevel="0" collapsed="false">
      <c r="A13" s="3" t="n">
        <v>11</v>
      </c>
      <c r="B13" s="3" t="s">
        <v>39</v>
      </c>
      <c r="C13" s="4" t="s">
        <v>26</v>
      </c>
      <c r="D13" s="5" t="s">
        <v>27</v>
      </c>
      <c r="E13" s="3" t="s">
        <v>28</v>
      </c>
      <c r="F13" s="3" t="s">
        <v>29</v>
      </c>
      <c r="G13" s="6" t="n">
        <v>10</v>
      </c>
      <c r="H13" s="7" t="n">
        <v>15</v>
      </c>
      <c r="I13" s="6" t="n">
        <v>141</v>
      </c>
      <c r="J13" s="6" t="n">
        <v>7.05</v>
      </c>
      <c r="K13" s="6" t="n">
        <v>0</v>
      </c>
      <c r="L13" s="6" t="n">
        <v>133.95</v>
      </c>
      <c r="M13" s="6" t="n">
        <v>1339.5</v>
      </c>
      <c r="N13" s="6" t="n">
        <v>66.98</v>
      </c>
      <c r="O13" s="6" t="n">
        <v>0</v>
      </c>
      <c r="P13" s="6" t="n">
        <v>0</v>
      </c>
      <c r="Q13" s="6" t="n">
        <v>1406.48</v>
      </c>
      <c r="R13" s="6" t="n">
        <v>280</v>
      </c>
      <c r="S13" s="6" t="n">
        <v>162.15</v>
      </c>
      <c r="T13" s="6" t="n">
        <v>183.3</v>
      </c>
      <c r="U13" s="8"/>
      <c r="V13" s="8"/>
    </row>
    <row r="14" customFormat="false" ht="14.25" hidden="false" customHeight="false" outlineLevel="0" collapsed="false">
      <c r="A14" s="9" t="n">
        <v>12</v>
      </c>
      <c r="B14" s="9" t="s">
        <v>40</v>
      </c>
      <c r="C14" s="10" t="s">
        <v>26</v>
      </c>
      <c r="D14" s="11" t="s">
        <v>27</v>
      </c>
      <c r="E14" s="9" t="s">
        <v>28</v>
      </c>
      <c r="F14" s="9" t="s">
        <v>29</v>
      </c>
      <c r="G14" s="12" t="n">
        <v>10</v>
      </c>
      <c r="H14" s="13" t="n">
        <v>15</v>
      </c>
      <c r="I14" s="12" t="n">
        <v>141</v>
      </c>
      <c r="J14" s="12" t="n">
        <v>7.05</v>
      </c>
      <c r="K14" s="12" t="n">
        <v>0</v>
      </c>
      <c r="L14" s="12" t="n">
        <v>133.95</v>
      </c>
      <c r="M14" s="12" t="n">
        <v>1339.5</v>
      </c>
      <c r="N14" s="12" t="n">
        <v>66.98</v>
      </c>
      <c r="O14" s="12" t="n">
        <v>0</v>
      </c>
      <c r="P14" s="12" t="n">
        <v>0</v>
      </c>
      <c r="Q14" s="12" t="n">
        <v>1406.48</v>
      </c>
      <c r="R14" s="12" t="n">
        <v>280</v>
      </c>
      <c r="S14" s="12" t="n">
        <v>162.15</v>
      </c>
      <c r="T14" s="12" t="n">
        <v>183.3</v>
      </c>
      <c r="U14" s="14"/>
      <c r="V14" s="14"/>
    </row>
    <row r="15" customFormat="false" ht="14.25" hidden="false" customHeight="false" outlineLevel="0" collapsed="false">
      <c r="A15" s="3" t="n">
        <v>13</v>
      </c>
      <c r="B15" s="3" t="s">
        <v>41</v>
      </c>
      <c r="C15" s="4" t="s">
        <v>26</v>
      </c>
      <c r="D15" s="5" t="s">
        <v>27</v>
      </c>
      <c r="E15" s="3" t="s">
        <v>28</v>
      </c>
      <c r="F15" s="3" t="s">
        <v>29</v>
      </c>
      <c r="G15" s="6" t="n">
        <v>10</v>
      </c>
      <c r="H15" s="7" t="n">
        <v>15</v>
      </c>
      <c r="I15" s="6" t="n">
        <v>141</v>
      </c>
      <c r="J15" s="6" t="n">
        <v>7.05</v>
      </c>
      <c r="K15" s="6" t="n">
        <v>0</v>
      </c>
      <c r="L15" s="6" t="n">
        <v>133.95</v>
      </c>
      <c r="M15" s="6" t="n">
        <v>1339.5</v>
      </c>
      <c r="N15" s="6" t="n">
        <v>66.98</v>
      </c>
      <c r="O15" s="6" t="n">
        <v>0</v>
      </c>
      <c r="P15" s="6" t="n">
        <v>0</v>
      </c>
      <c r="Q15" s="6" t="n">
        <v>1406.48</v>
      </c>
      <c r="R15" s="6" t="n">
        <v>280</v>
      </c>
      <c r="S15" s="6" t="n">
        <v>162.15</v>
      </c>
      <c r="T15" s="6" t="n">
        <v>183.3</v>
      </c>
      <c r="U15" s="8"/>
      <c r="V15" s="8"/>
    </row>
    <row r="16" customFormat="false" ht="14.25" hidden="false" customHeight="false" outlineLevel="0" collapsed="false">
      <c r="A16" s="9" t="n">
        <v>14</v>
      </c>
      <c r="B16" s="9" t="s">
        <v>42</v>
      </c>
      <c r="C16" s="10" t="s">
        <v>26</v>
      </c>
      <c r="D16" s="11" t="s">
        <v>27</v>
      </c>
      <c r="E16" s="9" t="s">
        <v>28</v>
      </c>
      <c r="F16" s="9" t="s">
        <v>29</v>
      </c>
      <c r="G16" s="12" t="n">
        <v>10</v>
      </c>
      <c r="H16" s="13" t="n">
        <v>15</v>
      </c>
      <c r="I16" s="12" t="n">
        <v>141</v>
      </c>
      <c r="J16" s="12" t="n">
        <v>7.05</v>
      </c>
      <c r="K16" s="12" t="n">
        <v>0</v>
      </c>
      <c r="L16" s="12" t="n">
        <v>133.95</v>
      </c>
      <c r="M16" s="12" t="n">
        <v>1339.5</v>
      </c>
      <c r="N16" s="12" t="n">
        <v>66.98</v>
      </c>
      <c r="O16" s="12" t="n">
        <v>0</v>
      </c>
      <c r="P16" s="12" t="n">
        <v>0</v>
      </c>
      <c r="Q16" s="12" t="n">
        <v>1406.48</v>
      </c>
      <c r="R16" s="12" t="n">
        <v>280</v>
      </c>
      <c r="S16" s="12" t="n">
        <v>162.15</v>
      </c>
      <c r="T16" s="12" t="n">
        <v>183.3</v>
      </c>
      <c r="U16" s="14"/>
      <c r="V16" s="14"/>
    </row>
    <row r="17" customFormat="false" ht="14.25" hidden="false" customHeight="false" outlineLevel="0" collapsed="false">
      <c r="A17" s="3" t="n">
        <v>15</v>
      </c>
      <c r="B17" s="3" t="s">
        <v>43</v>
      </c>
      <c r="C17" s="4" t="s">
        <v>26</v>
      </c>
      <c r="D17" s="5" t="s">
        <v>27</v>
      </c>
      <c r="E17" s="3" t="s">
        <v>28</v>
      </c>
      <c r="F17" s="3" t="s">
        <v>29</v>
      </c>
      <c r="G17" s="6" t="n">
        <v>10</v>
      </c>
      <c r="H17" s="7" t="n">
        <v>15</v>
      </c>
      <c r="I17" s="6" t="n">
        <v>141</v>
      </c>
      <c r="J17" s="6" t="n">
        <v>7.05</v>
      </c>
      <c r="K17" s="6" t="n">
        <v>0</v>
      </c>
      <c r="L17" s="6" t="n">
        <v>133.95</v>
      </c>
      <c r="M17" s="6" t="n">
        <v>1339.5</v>
      </c>
      <c r="N17" s="6" t="n">
        <v>66.98</v>
      </c>
      <c r="O17" s="6" t="n">
        <v>0</v>
      </c>
      <c r="P17" s="6" t="n">
        <v>0</v>
      </c>
      <c r="Q17" s="6" t="n">
        <v>1406.48</v>
      </c>
      <c r="R17" s="6" t="n">
        <v>280</v>
      </c>
      <c r="S17" s="6" t="n">
        <v>162.15</v>
      </c>
      <c r="T17" s="6" t="n">
        <v>183.3</v>
      </c>
      <c r="U17" s="8"/>
      <c r="V17" s="8"/>
    </row>
    <row r="18" customFormat="false" ht="14.25" hidden="false" customHeight="false" outlineLevel="0" collapsed="false">
      <c r="A18" s="15" t="s">
        <v>44</v>
      </c>
      <c r="B18" s="15"/>
      <c r="C18" s="16"/>
      <c r="D18" s="15"/>
      <c r="E18" s="15"/>
      <c r="F18" s="15"/>
      <c r="G18" s="17" t="n">
        <f aca="false">SUM(G3:G17)</f>
        <v>149.7</v>
      </c>
      <c r="H18" s="18" t="n">
        <f aca="false">SUM(H3:H17)</f>
        <v>225</v>
      </c>
      <c r="I18" s="19"/>
      <c r="J18" s="19"/>
      <c r="K18" s="19"/>
      <c r="L18" s="19"/>
      <c r="M18" s="17" t="n">
        <f aca="false">SUM(M3:M17)</f>
        <v>20052.33</v>
      </c>
      <c r="N18" s="17" t="n">
        <f aca="false">SUM(N3:N17)</f>
        <v>1002.67</v>
      </c>
      <c r="O18" s="17" t="n">
        <f aca="false">SUM(O3:O17)</f>
        <v>0</v>
      </c>
      <c r="P18" s="17" t="n">
        <f aca="false">SUM(P3:P17)</f>
        <v>0</v>
      </c>
      <c r="Q18" s="17" t="n">
        <f aca="false">SUM(Q3:Q17)</f>
        <v>21054.98</v>
      </c>
      <c r="R18" s="19"/>
      <c r="S18" s="19"/>
      <c r="T18" s="19"/>
      <c r="U18" s="15"/>
      <c r="V18" s="15"/>
    </row>
    <row r="20" customFormat="false" ht="21.75" hidden="false" customHeight="true" outlineLevel="0" collapsed="false">
      <c r="A20" s="20" t="s">
        <v>45</v>
      </c>
    </row>
    <row r="21" customFormat="false" ht="24" hidden="false" customHeight="true" outlineLevel="0" collapsed="false">
      <c r="A21" s="2" t="s">
        <v>0</v>
      </c>
      <c r="B21" s="2" t="s">
        <v>46</v>
      </c>
      <c r="C21" s="2" t="s">
        <v>47</v>
      </c>
      <c r="D21" s="2" t="s">
        <v>48</v>
      </c>
      <c r="E21" s="2" t="s">
        <v>49</v>
      </c>
      <c r="F21" s="2" t="s">
        <v>8</v>
      </c>
      <c r="G21" s="2" t="s">
        <v>9</v>
      </c>
    </row>
    <row r="22" customFormat="false" ht="19.5" hidden="false" customHeight="true" outlineLevel="0" collapsed="false">
      <c r="A22" s="21" t="n">
        <v>1</v>
      </c>
      <c r="B22" s="21" t="n">
        <v>1</v>
      </c>
      <c r="C22" s="21" t="str">
        <f aca="false">C3</f>
        <v>4-F-CTN</v>
      </c>
      <c r="D22" s="22" t="n">
        <f aca="false">SUM(G3:G17)</f>
        <v>149.7</v>
      </c>
      <c r="E22" s="22" t="n">
        <f aca="false">ROUND(D22*L3,2)</f>
        <v>20052.32</v>
      </c>
      <c r="F22" s="22" t="n">
        <f aca="false">ROUND(D22*L3*5%,2)</f>
        <v>1002.62</v>
      </c>
      <c r="G22" s="22" t="n">
        <f aca="false">ROUND(D22*L3*1.05,2)</f>
        <v>21054.93</v>
      </c>
    </row>
    <row r="23" customFormat="false" ht="19.5" hidden="false" customHeight="true" outlineLevel="0" collapsed="false">
      <c r="A23" s="23" t="s">
        <v>44</v>
      </c>
      <c r="B23" s="24"/>
      <c r="C23" s="24"/>
      <c r="D23" s="25" t="n">
        <f aca="false">SUM(D22:D22)</f>
        <v>149.7</v>
      </c>
      <c r="E23" s="25" t="n">
        <f aca="false">SUM(E22:E22)</f>
        <v>20052.32</v>
      </c>
      <c r="F23" s="25" t="n">
        <f aca="false">SUM(F22:F22)</f>
        <v>1002.62</v>
      </c>
      <c r="G23" s="25" t="n">
        <f aca="false">SUM(G22:G22)</f>
        <v>21054.93</v>
      </c>
    </row>
  </sheetData>
  <autoFilter ref="A1:V18"/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2026-09-08T11:08:44Z</dcterms:created>
  <dc:creator>openpyxl</dc:creator>
  <dc:description/>
  <dc:language>en-US</dc:language>
  <cp:lastModifiedBy>Admin</cp:lastModifiedBy>
  <dcterms:modified xsi:type="dcterms:W3CDTF">2026-09-10T07:30:49Z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