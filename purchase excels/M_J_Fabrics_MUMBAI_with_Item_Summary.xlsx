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3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<sst xmlns="http://schemas.openxmlformats.org/spreadsheetml/2006/main" count="131" uniqueCount="52">
  <si>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</si>
  <si>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</si>
  <si>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</si>
  <si>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</si>
  <si>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</si>
  <si>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</si>
  <si>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</si>
  <si>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</si>
  <si>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</si>
  <si>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</si>
  <si>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</si>
  <si>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</si>
  <si>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</si>
  <si>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</si>
  <si>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</si>
  <si>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</si>
  <si>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</si>
  <si>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</si>
  <si>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</si>
  <si>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</si>
  <si>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</si>
  <si>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</si>
  <si>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</si>
  <si>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</si>
  <si>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</si>
  <si>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8A3394</t>
  </si>
  <si>
    <t xml:space="preserve">4-F-HKOBA</t>
  </si>
  <si>
    <t xml:space="preserve">551311</t>
  </si>
  <si>
    <t xml:space="preserve">GST 5 %</t>
  </si>
  <si>
    <t xml:space="preserve">Mtr</t>
  </si>
  <si>
    <t xml:space="preserve">Edit</t>
  </si>
  <si>
    <t xml:space="preserve">8A3395</t>
  </si>
  <si>
    <t xml:space="preserve">8A3396</t>
  </si>
  <si>
    <t xml:space="preserve">8A3397</t>
  </si>
  <si>
    <t xml:space="preserve">8A3398</t>
  </si>
  <si>
    <t xml:space="preserve">8A3399</t>
  </si>
  <si>
    <t xml:space="preserve">8A3400</t>
  </si>
  <si>
    <t xml:space="preserve">8A3401</t>
  </si>
  <si>
    <t xml:space="preserve">8A3402</t>
  </si>
  <si>
    <t xml:space="preserve">8A3403</t>
  </si>
  <si>
    <t xml:space="preserve">8A3404</t>
  </si>
  <si>
    <t xml:space="preserve">8A3405</t>
  </si>
  <si>
    <t xml:space="preserve">8A3406</t>
  </si>
  <si>
    <t xml:space="preserve">8A3407</t>
  </si>
  <si>
    <t xml:space="preserve">8A3408</t>
  </si>
  <si>
    <t xml:space="preserve">8A3409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</si>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</sst>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10</v>
      </c>
      <c r="H3" s="5" t="n">
        <v>4</v>
      </c>
      <c r="I3" s="5" t="n">
        <v>175</v>
      </c>
      <c r="J3" s="5" t="n">
        <v>0</v>
      </c>
      <c r="K3" s="5" t="n">
        <v>0</v>
      </c>
      <c r="L3" s="5" t="n">
        <v>175</v>
      </c>
      <c r="M3" s="5" t="n">
        <v>1750</v>
      </c>
      <c r="N3" s="5" t="n">
        <v>87.5</v>
      </c>
      <c r="O3" s="5" t="n">
        <v>0</v>
      </c>
      <c r="P3" s="5" t="n">
        <v>0</v>
      </c>
      <c r="Q3" s="5" t="n">
        <v>1837.5</v>
      </c>
      <c r="R3" s="5" t="n">
        <v>348</v>
      </c>
      <c r="S3" s="5" t="n">
        <v>201.25</v>
      </c>
      <c r="T3" s="5" t="n">
        <v>227.5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10</v>
      </c>
      <c r="H4" s="5" t="n">
        <v>4</v>
      </c>
      <c r="I4" s="5" t="n">
        <v>175</v>
      </c>
      <c r="J4" s="5" t="n">
        <v>0</v>
      </c>
      <c r="K4" s="5" t="n">
        <v>0</v>
      </c>
      <c r="L4" s="5" t="n">
        <v>175</v>
      </c>
      <c r="M4" s="5" t="n">
        <v>1750</v>
      </c>
      <c r="N4" s="5" t="n">
        <v>87.5</v>
      </c>
      <c r="O4" s="5" t="n">
        <v>0</v>
      </c>
      <c r="P4" s="5" t="n">
        <v>0</v>
      </c>
      <c r="Q4" s="5" t="n">
        <v>1837.5</v>
      </c>
      <c r="R4" s="5" t="n">
        <v>348</v>
      </c>
      <c r="S4" s="5" t="n">
        <v>201.25</v>
      </c>
      <c r="T4" s="5" t="n">
        <v>227.5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8.8</v>
      </c>
      <c r="H5" s="5" t="n">
        <v>4</v>
      </c>
      <c r="I5" s="5" t="n">
        <v>175</v>
      </c>
      <c r="J5" s="5" t="n">
        <v>0</v>
      </c>
      <c r="K5" s="5" t="n">
        <v>0</v>
      </c>
      <c r="L5" s="5" t="n">
        <v>175</v>
      </c>
      <c r="M5" s="5" t="n">
        <v>1540</v>
      </c>
      <c r="N5" s="5" t="n">
        <v>77</v>
      </c>
      <c r="O5" s="5" t="n">
        <v>0</v>
      </c>
      <c r="P5" s="5" t="n">
        <v>0</v>
      </c>
      <c r="Q5" s="5" t="n">
        <v>1617</v>
      </c>
      <c r="R5" s="5" t="n">
        <v>348</v>
      </c>
      <c r="S5" s="5" t="n">
        <v>201.25</v>
      </c>
      <c r="T5" s="5" t="n">
        <v>227.5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9.5</v>
      </c>
      <c r="H6" s="5" t="n">
        <v>4</v>
      </c>
      <c r="I6" s="5" t="n">
        <v>175</v>
      </c>
      <c r="J6" s="5" t="n">
        <v>0</v>
      </c>
      <c r="K6" s="5" t="n">
        <v>0</v>
      </c>
      <c r="L6" s="5" t="n">
        <v>175</v>
      </c>
      <c r="M6" s="5" t="n">
        <v>1662.5</v>
      </c>
      <c r="N6" s="5" t="n">
        <v>83.13</v>
      </c>
      <c r="O6" s="5" t="n">
        <v>0</v>
      </c>
      <c r="P6" s="5" t="n">
        <v>0</v>
      </c>
      <c r="Q6" s="5" t="n">
        <v>1745.63</v>
      </c>
      <c r="R6" s="5" t="n">
        <v>348</v>
      </c>
      <c r="S6" s="5" t="n">
        <v>201.25</v>
      </c>
      <c r="T6" s="5" t="n">
        <v>227.5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10</v>
      </c>
      <c r="H7" s="5" t="n">
        <v>2</v>
      </c>
      <c r="I7" s="5" t="n">
        <v>175</v>
      </c>
      <c r="J7" s="5" t="n">
        <v>0</v>
      </c>
      <c r="K7" s="5" t="n">
        <v>0</v>
      </c>
      <c r="L7" s="5" t="n">
        <v>175</v>
      </c>
      <c r="M7" s="5" t="n">
        <v>1750</v>
      </c>
      <c r="N7" s="5" t="n">
        <v>87.5</v>
      </c>
      <c r="O7" s="5" t="n">
        <v>0</v>
      </c>
      <c r="P7" s="5" t="n">
        <v>0</v>
      </c>
      <c r="Q7" s="5" t="n">
        <v>1837.5</v>
      </c>
      <c r="R7" s="5" t="n">
        <v>348</v>
      </c>
      <c r="S7" s="5" t="n">
        <v>201.25</v>
      </c>
      <c r="T7" s="5" t="n">
        <v>227.5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8.6</v>
      </c>
      <c r="H8" s="5" t="n">
        <v>2</v>
      </c>
      <c r="I8" s="5" t="n">
        <v>175</v>
      </c>
      <c r="J8" s="5" t="n">
        <v>0</v>
      </c>
      <c r="K8" s="5" t="n">
        <v>0</v>
      </c>
      <c r="L8" s="5" t="n">
        <v>175</v>
      </c>
      <c r="M8" s="5" t="n">
        <v>1505</v>
      </c>
      <c r="N8" s="5" t="n">
        <v>75.25</v>
      </c>
      <c r="O8" s="5" t="n">
        <v>0</v>
      </c>
      <c r="P8" s="5" t="n">
        <v>0</v>
      </c>
      <c r="Q8" s="5" t="n">
        <v>1580.25</v>
      </c>
      <c r="R8" s="5" t="n">
        <v>348</v>
      </c>
      <c r="S8" s="5" t="n">
        <v>201.25</v>
      </c>
      <c r="T8" s="5" t="n">
        <v>227.5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10</v>
      </c>
      <c r="H9" s="5" t="n">
        <v>8</v>
      </c>
      <c r="I9" s="5" t="n">
        <v>285</v>
      </c>
      <c r="J9" s="5" t="n">
        <v>0</v>
      </c>
      <c r="K9" s="5" t="n">
        <v>0</v>
      </c>
      <c r="L9" s="5" t="n">
        <v>285</v>
      </c>
      <c r="M9" s="5" t="n">
        <v>2850</v>
      </c>
      <c r="N9" s="5" t="n">
        <v>142.5</v>
      </c>
      <c r="O9" s="5" t="n">
        <v>0</v>
      </c>
      <c r="P9" s="5" t="n">
        <v>0</v>
      </c>
      <c r="Q9" s="5" t="n">
        <v>2992.5</v>
      </c>
      <c r="R9" s="5" t="n">
        <v>495</v>
      </c>
      <c r="S9" s="5" t="n">
        <v>327.75</v>
      </c>
      <c r="T9" s="5" t="n">
        <v>370.5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10.3</v>
      </c>
      <c r="H10" s="5" t="n">
        <v>8</v>
      </c>
      <c r="I10" s="5" t="n">
        <v>285</v>
      </c>
      <c r="J10" s="5" t="n">
        <v>0</v>
      </c>
      <c r="K10" s="5" t="n">
        <v>0</v>
      </c>
      <c r="L10" s="5" t="n">
        <v>285</v>
      </c>
      <c r="M10" s="5" t="n">
        <v>2935.5</v>
      </c>
      <c r="N10" s="5" t="n">
        <v>146.78</v>
      </c>
      <c r="O10" s="5" t="n">
        <v>0</v>
      </c>
      <c r="P10" s="5" t="n">
        <v>0</v>
      </c>
      <c r="Q10" s="5" t="n">
        <v>3082.28</v>
      </c>
      <c r="R10" s="5" t="n">
        <v>495</v>
      </c>
      <c r="S10" s="5" t="n">
        <v>327.75</v>
      </c>
      <c r="T10" s="5" t="n">
        <v>370.5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10</v>
      </c>
      <c r="H11" s="5" t="n">
        <v>8</v>
      </c>
      <c r="I11" s="5" t="n">
        <v>285</v>
      </c>
      <c r="J11" s="5" t="n">
        <v>0</v>
      </c>
      <c r="K11" s="5" t="n">
        <v>0</v>
      </c>
      <c r="L11" s="5" t="n">
        <v>285</v>
      </c>
      <c r="M11" s="5" t="n">
        <v>2850</v>
      </c>
      <c r="N11" s="5" t="n">
        <v>142.5</v>
      </c>
      <c r="O11" s="5" t="n">
        <v>0</v>
      </c>
      <c r="P11" s="5" t="n">
        <v>0</v>
      </c>
      <c r="Q11" s="5" t="n">
        <v>2992.5</v>
      </c>
      <c r="R11" s="5" t="n">
        <v>495</v>
      </c>
      <c r="S11" s="5" t="n">
        <v>327.75</v>
      </c>
      <c r="T11" s="5" t="n">
        <v>370.5</v>
      </c>
      <c r="U11" s="6"/>
      <c r="V11" s="3" t="s">
        <v>30</v>
      </c>
    </row>
    <row r="12" customFormat="false" ht="15" hidden="false" customHeight="true" outlineLevel="0" collapsed="false">
      <c r="A12" s="3" t="n">
        <v>10</v>
      </c>
      <c r="B12" s="4" t="s">
        <v>39</v>
      </c>
      <c r="C12" s="4" t="s">
        <v>26</v>
      </c>
      <c r="D12" s="3" t="s">
        <v>27</v>
      </c>
      <c r="E12" s="3" t="s">
        <v>28</v>
      </c>
      <c r="F12" s="3" t="s">
        <v>29</v>
      </c>
      <c r="G12" s="5" t="n">
        <v>9.9</v>
      </c>
      <c r="H12" s="5" t="n">
        <v>8</v>
      </c>
      <c r="I12" s="5" t="n">
        <v>285</v>
      </c>
      <c r="J12" s="5" t="n">
        <v>0</v>
      </c>
      <c r="K12" s="5" t="n">
        <v>0</v>
      </c>
      <c r="L12" s="5" t="n">
        <v>285</v>
      </c>
      <c r="M12" s="5" t="n">
        <v>2821.5</v>
      </c>
      <c r="N12" s="5" t="n">
        <v>141.08</v>
      </c>
      <c r="O12" s="5" t="n">
        <v>0</v>
      </c>
      <c r="P12" s="5" t="n">
        <v>0</v>
      </c>
      <c r="Q12" s="5" t="n">
        <v>2962.58</v>
      </c>
      <c r="R12" s="5" t="n">
        <v>495</v>
      </c>
      <c r="S12" s="5" t="n">
        <v>327.75</v>
      </c>
      <c r="T12" s="5" t="n">
        <v>370.5</v>
      </c>
      <c r="U12" s="6"/>
      <c r="V12" s="3" t="s">
        <v>30</v>
      </c>
    </row>
    <row r="13" customFormat="false" ht="15" hidden="false" customHeight="true" outlineLevel="0" collapsed="false">
      <c r="A13" s="3" t="n">
        <v>11</v>
      </c>
      <c r="B13" s="4" t="s">
        <v>40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10</v>
      </c>
      <c r="H13" s="5" t="n">
        <v>8</v>
      </c>
      <c r="I13" s="5" t="n">
        <v>285</v>
      </c>
      <c r="J13" s="5" t="n">
        <v>0</v>
      </c>
      <c r="K13" s="5" t="n">
        <v>0</v>
      </c>
      <c r="L13" s="5" t="n">
        <v>285</v>
      </c>
      <c r="M13" s="5" t="n">
        <v>2850</v>
      </c>
      <c r="N13" s="5" t="n">
        <v>142.5</v>
      </c>
      <c r="O13" s="5" t="n">
        <v>0</v>
      </c>
      <c r="P13" s="5" t="n">
        <v>0</v>
      </c>
      <c r="Q13" s="5" t="n">
        <v>2992.5</v>
      </c>
      <c r="R13" s="5" t="n">
        <v>495</v>
      </c>
      <c r="S13" s="5" t="n">
        <v>327.75</v>
      </c>
      <c r="T13" s="5" t="n">
        <v>370.5</v>
      </c>
      <c r="U13" s="6"/>
      <c r="V13" s="3" t="s">
        <v>30</v>
      </c>
    </row>
    <row r="14" customFormat="false" ht="15" hidden="false" customHeight="true" outlineLevel="0" collapsed="false">
      <c r="A14" s="3" t="n">
        <v>12</v>
      </c>
      <c r="B14" s="4" t="s">
        <v>41</v>
      </c>
      <c r="C14" s="4" t="s">
        <v>26</v>
      </c>
      <c r="D14" s="3" t="s">
        <v>27</v>
      </c>
      <c r="E14" s="3" t="s">
        <v>28</v>
      </c>
      <c r="F14" s="3" t="s">
        <v>29</v>
      </c>
      <c r="G14" s="5" t="n">
        <v>9.9</v>
      </c>
      <c r="H14" s="5" t="n">
        <v>8</v>
      </c>
      <c r="I14" s="5" t="n">
        <v>285</v>
      </c>
      <c r="J14" s="5" t="n">
        <v>0</v>
      </c>
      <c r="K14" s="5" t="n">
        <v>0</v>
      </c>
      <c r="L14" s="5" t="n">
        <v>285</v>
      </c>
      <c r="M14" s="5" t="n">
        <v>2821.5</v>
      </c>
      <c r="N14" s="5" t="n">
        <v>141.08</v>
      </c>
      <c r="O14" s="5" t="n">
        <v>0</v>
      </c>
      <c r="P14" s="5" t="n">
        <v>0</v>
      </c>
      <c r="Q14" s="5" t="n">
        <v>2962.58</v>
      </c>
      <c r="R14" s="5" t="n">
        <v>495</v>
      </c>
      <c r="S14" s="5" t="n">
        <v>327.75</v>
      </c>
      <c r="T14" s="5" t="n">
        <v>370.5</v>
      </c>
      <c r="U14" s="6"/>
      <c r="V14" s="3" t="s">
        <v>30</v>
      </c>
    </row>
    <row r="15" customFormat="false" ht="15" hidden="false" customHeight="true" outlineLevel="0" collapsed="false">
      <c r="A15" s="3" t="n">
        <v>13</v>
      </c>
      <c r="B15" s="4" t="s">
        <v>42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10</v>
      </c>
      <c r="H15" s="5" t="n">
        <v>8</v>
      </c>
      <c r="I15" s="5" t="n">
        <v>285</v>
      </c>
      <c r="J15" s="5" t="n">
        <v>0</v>
      </c>
      <c r="K15" s="5" t="n">
        <v>0</v>
      </c>
      <c r="L15" s="5" t="n">
        <v>285</v>
      </c>
      <c r="M15" s="5" t="n">
        <v>2850</v>
      </c>
      <c r="N15" s="5" t="n">
        <v>142.5</v>
      </c>
      <c r="O15" s="5" t="n">
        <v>0</v>
      </c>
      <c r="P15" s="5" t="n">
        <v>0</v>
      </c>
      <c r="Q15" s="5" t="n">
        <v>2992.5</v>
      </c>
      <c r="R15" s="5" t="n">
        <v>495</v>
      </c>
      <c r="S15" s="5" t="n">
        <v>327.75</v>
      </c>
      <c r="T15" s="5" t="n">
        <v>370.5</v>
      </c>
      <c r="U15" s="6"/>
      <c r="V15" s="3" t="s">
        <v>30</v>
      </c>
    </row>
    <row r="16" customFormat="false" ht="15" hidden="false" customHeight="true" outlineLevel="0" collapsed="false">
      <c r="A16" s="3" t="n">
        <v>14</v>
      </c>
      <c r="B16" s="4" t="s">
        <v>43</v>
      </c>
      <c r="C16" s="4" t="s">
        <v>26</v>
      </c>
      <c r="D16" s="3" t="s">
        <v>27</v>
      </c>
      <c r="E16" s="3" t="s">
        <v>28</v>
      </c>
      <c r="F16" s="3" t="s">
        <v>29</v>
      </c>
      <c r="G16" s="5" t="n">
        <v>9.9</v>
      </c>
      <c r="H16" s="5" t="n">
        <v>8</v>
      </c>
      <c r="I16" s="5" t="n">
        <v>285</v>
      </c>
      <c r="J16" s="5" t="n">
        <v>0</v>
      </c>
      <c r="K16" s="5" t="n">
        <v>0</v>
      </c>
      <c r="L16" s="5" t="n">
        <v>285</v>
      </c>
      <c r="M16" s="5" t="n">
        <v>2821.5</v>
      </c>
      <c r="N16" s="5" t="n">
        <v>141.08</v>
      </c>
      <c r="O16" s="5" t="n">
        <v>0</v>
      </c>
      <c r="P16" s="5" t="n">
        <v>0</v>
      </c>
      <c r="Q16" s="5" t="n">
        <v>2962.58</v>
      </c>
      <c r="R16" s="5" t="n">
        <v>495</v>
      </c>
      <c r="S16" s="5" t="n">
        <v>327.75</v>
      </c>
      <c r="T16" s="5" t="n">
        <v>370.5</v>
      </c>
      <c r="U16" s="6"/>
      <c r="V16" s="3" t="s">
        <v>30</v>
      </c>
    </row>
    <row r="17" customFormat="false" ht="15" hidden="false" customHeight="true" outlineLevel="0" collapsed="false">
      <c r="A17" s="3" t="n">
        <v>15</v>
      </c>
      <c r="B17" s="4" t="s">
        <v>44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11.6</v>
      </c>
      <c r="H17" s="5" t="n">
        <v>1</v>
      </c>
      <c r="I17" s="5" t="n">
        <v>275</v>
      </c>
      <c r="J17" s="5" t="n">
        <v>0</v>
      </c>
      <c r="K17" s="5" t="n">
        <v>0</v>
      </c>
      <c r="L17" s="5" t="n">
        <v>275</v>
      </c>
      <c r="M17" s="5" t="n">
        <v>3190</v>
      </c>
      <c r="N17" s="5" t="n">
        <v>159.5</v>
      </c>
      <c r="O17" s="5" t="n">
        <v>0</v>
      </c>
      <c r="P17" s="5" t="n">
        <v>0</v>
      </c>
      <c r="Q17" s="5" t="n">
        <v>3349.5</v>
      </c>
      <c r="R17" s="5" t="n">
        <v>495</v>
      </c>
      <c r="S17" s="5" t="n">
        <v>316.25</v>
      </c>
      <c r="T17" s="5" t="n">
        <v>357.5</v>
      </c>
      <c r="U17" s="6"/>
      <c r="V17" s="3" t="s">
        <v>30</v>
      </c>
    </row>
    <row r="18" customFormat="false" ht="15" hidden="false" customHeight="true" outlineLevel="0" collapsed="false">
      <c r="A18" s="3" t="n">
        <v>16</v>
      </c>
      <c r="B18" s="4" t="s">
        <v>45</v>
      </c>
      <c r="C18" s="4" t="s">
        <v>26</v>
      </c>
      <c r="D18" s="3" t="s">
        <v>27</v>
      </c>
      <c r="E18" s="3" t="s">
        <v>28</v>
      </c>
      <c r="F18" s="3" t="s">
        <v>29</v>
      </c>
      <c r="G18" s="5" t="n">
        <v>13</v>
      </c>
      <c r="H18" s="5" t="n">
        <v>1</v>
      </c>
      <c r="I18" s="5" t="n">
        <v>275</v>
      </c>
      <c r="J18" s="5" t="n">
        <v>0</v>
      </c>
      <c r="K18" s="5" t="n">
        <v>0</v>
      </c>
      <c r="L18" s="5" t="n">
        <v>275</v>
      </c>
      <c r="M18" s="5" t="n">
        <v>3575</v>
      </c>
      <c r="N18" s="5" t="n">
        <v>178.75</v>
      </c>
      <c r="O18" s="5" t="n">
        <v>0</v>
      </c>
      <c r="P18" s="5" t="n">
        <v>0</v>
      </c>
      <c r="Q18" s="5" t="n">
        <v>3753.75</v>
      </c>
      <c r="R18" s="5" t="n">
        <v>495</v>
      </c>
      <c r="S18" s="5" t="n">
        <v>316.25</v>
      </c>
      <c r="T18" s="5" t="n">
        <v>357.5</v>
      </c>
      <c r="U18" s="6"/>
      <c r="V18" s="3" t="s">
        <v>30</v>
      </c>
    </row>
    <row r="19" customFormat="false" ht="15" hidden="false" customHeight="true" outlineLevel="0" collapsed="false">
      <c r="A19" s="7" t="s">
        <v>46</v>
      </c>
      <c r="B19" s="7"/>
      <c r="C19" s="7"/>
      <c r="D19" s="7"/>
      <c r="E19" s="7"/>
      <c r="F19" s="7"/>
      <c r="G19" s="8" t="n">
        <f aca="false">SUM(G3:G18)</f>
        <v>161.5</v>
      </c>
      <c r="H19" s="8" t="n">
        <f aca="false">SUM(H3:H18)</f>
        <v>86</v>
      </c>
      <c r="I19" s="8" t="n">
        <f aca="false">AVERAGE(I3:I18)</f>
        <v>242.5</v>
      </c>
      <c r="J19" s="8" t="n">
        <f aca="false">SUM(J3:J18)</f>
        <v>0</v>
      </c>
      <c r="K19" s="8" t="n">
        <f aca="false">SUM(K3:K18)</f>
        <v>0</v>
      </c>
      <c r="L19" s="8" t="n">
        <f aca="false">AVERAGE(L3:L18)</f>
        <v>242.5</v>
      </c>
      <c r="M19" s="8" t="n">
        <f aca="false">SUM(M3:M18)</f>
        <v>39522.5</v>
      </c>
      <c r="N19" s="8" t="n">
        <f aca="false">SUM(N3:N18)</f>
        <v>1976.15</v>
      </c>
      <c r="O19" s="8" t="n">
        <f aca="false">SUM(O3:O18)</f>
        <v>0</v>
      </c>
      <c r="P19" s="8" t="n">
        <f aca="false">SUM(P3:P18)</f>
        <v>0</v>
      </c>
      <c r="Q19" s="8" t="n">
        <f aca="false">SUM(Q3:Q18)</f>
        <v>41498.65</v>
      </c>
      <c r="R19" s="8" t="n">
        <f aca="false">AVERAGE(R3:R18)</f>
        <v>439.875</v>
      </c>
      <c r="S19" s="8" t="n">
        <f aca="false">AVERAGE(S3:S18)</f>
        <v>278.875</v>
      </c>
      <c r="T19" s="8" t="n">
        <f aca="false">AVERAGE(T3:T18)</f>
        <v>315.25</v>
      </c>
      <c r="U19" s="9"/>
      <c r="V19" s="9"/>
    </row>
    <row r="20" customFormat="false" ht="15" hidden="false" customHeight="true" outlineLevel="0" collapsed="false"/>
    <row r="21" customFormat="false" ht="21.75" hidden="false" customHeight="true" outlineLevel="0" collapsed="false">
      <c r="A21" s="10" t="s">
        <v>47</v>
      </c>
    </row>
    <row r="22" customFormat="false" ht="24" hidden="false" customHeight="true" outlineLevel="0" collapsed="false">
      <c r="A22" s="2" t="s">
        <v>0</v>
      </c>
      <c r="B22" s="2" t="s">
        <v>48</v>
      </c>
      <c r="C22" s="2" t="s">
        <v>49</v>
      </c>
      <c r="D22" s="2" t="s">
        <v>50</v>
      </c>
      <c r="E22" s="2" t="s">
        <v>51</v>
      </c>
      <c r="F22" s="2" t="s">
        <v>8</v>
      </c>
      <c r="G22" s="2" t="s">
        <v>9</v>
      </c>
    </row>
    <row r="23" customFormat="false" ht="19.5" hidden="false" customHeight="true" outlineLevel="0" collapsed="false">
      <c r="A23" s="11" t="n">
        <v>1</v>
      </c>
      <c r="B23" s="11" t="n">
        <v>1</v>
      </c>
      <c r="C23" s="11" t="str">
        <f aca="false">C3</f>
        <v>4-F-HKOBA</v>
      </c>
      <c r="D23" s="12" t="n">
        <f aca="false">SUM(G3:G6)</f>
        <v>38.3</v>
      </c>
      <c r="E23" s="12" t="n">
        <f aca="false">SUM(M3:M6)</f>
        <v>6702.5</v>
      </c>
      <c r="F23" s="12" t="n">
        <f aca="false">ROUND(E23*5%,2)</f>
        <v>335.13</v>
      </c>
      <c r="G23" s="12" t="n">
        <f aca="false">E23+F23</f>
        <v>7037.63</v>
      </c>
    </row>
    <row r="24" customFormat="false" ht="19.5" hidden="false" customHeight="true" outlineLevel="0" collapsed="false">
      <c r="A24" s="11" t="n">
        <v>2</v>
      </c>
      <c r="B24" s="11" t="n">
        <v>2</v>
      </c>
      <c r="C24" s="11" t="str">
        <f aca="false">C7</f>
        <v>4-F-HKOBA</v>
      </c>
      <c r="D24" s="12" t="n">
        <f aca="false">SUM(G7:G8)</f>
        <v>18.6</v>
      </c>
      <c r="E24" s="12" t="n">
        <f aca="false">SUM(M7:M8)</f>
        <v>3255</v>
      </c>
      <c r="F24" s="12" t="n">
        <f aca="false">ROUND(E24*5%,2)</f>
        <v>162.75</v>
      </c>
      <c r="G24" s="12" t="n">
        <f aca="false">E24+F24</f>
        <v>3417.75</v>
      </c>
    </row>
    <row r="25" customFormat="false" ht="19.5" hidden="false" customHeight="true" outlineLevel="0" collapsed="false">
      <c r="A25" s="11" t="n">
        <v>3</v>
      </c>
      <c r="B25" s="11" t="n">
        <v>3</v>
      </c>
      <c r="C25" s="11" t="str">
        <f aca="false">C9</f>
        <v>4-F-HKOBA</v>
      </c>
      <c r="D25" s="12" t="n">
        <f aca="false">SUM(G9:G16)</f>
        <v>80</v>
      </c>
      <c r="E25" s="12" t="n">
        <f aca="false">SUM(M9:M16)</f>
        <v>22800</v>
      </c>
      <c r="F25" s="12" t="n">
        <f aca="false">ROUND(E25*5%,2)</f>
        <v>1140</v>
      </c>
      <c r="G25" s="12" t="n">
        <f aca="false">E25+F25</f>
        <v>23940</v>
      </c>
    </row>
    <row r="26" customFormat="false" ht="19.5" hidden="false" customHeight="true" outlineLevel="0" collapsed="false">
      <c r="A26" s="11" t="n">
        <v>4</v>
      </c>
      <c r="B26" s="11" t="n">
        <v>4</v>
      </c>
      <c r="C26" s="11" t="str">
        <f aca="false">C17</f>
        <v>4-F-HKOBA</v>
      </c>
      <c r="D26" s="12" t="n">
        <f aca="false">SUM(G17:G17)</f>
        <v>11.6</v>
      </c>
      <c r="E26" s="12" t="n">
        <f aca="false">SUM(M17:M17)</f>
        <v>3190</v>
      </c>
      <c r="F26" s="12" t="n">
        <f aca="false">ROUND(E26*5%,2)</f>
        <v>159.5</v>
      </c>
      <c r="G26" s="12" t="n">
        <f aca="false">E26+F26</f>
        <v>3349.5</v>
      </c>
    </row>
    <row r="27" customFormat="false" ht="19.5" hidden="false" customHeight="true" outlineLevel="0" collapsed="false">
      <c r="A27" s="11" t="n">
        <v>5</v>
      </c>
      <c r="B27" s="11" t="n">
        <v>5</v>
      </c>
      <c r="C27" s="11" t="str">
        <f aca="false">C18</f>
        <v>4-F-HKOBA</v>
      </c>
      <c r="D27" s="12" t="n">
        <f aca="false">SUM(G18:G18)</f>
        <v>13</v>
      </c>
      <c r="E27" s="12" t="n">
        <f aca="false">SUM(M18:M18)</f>
        <v>3575</v>
      </c>
      <c r="F27" s="12" t="n">
        <f aca="false">ROUND(E27*5%,2)</f>
        <v>178.75</v>
      </c>
      <c r="G27" s="12" t="n">
        <f aca="false">E27+F27</f>
        <v>3753.75</v>
      </c>
    </row>
    <row r="28" customFormat="false" ht="19.5" hidden="false" customHeight="true" outlineLevel="0" collapsed="false">
      <c r="A28" s="13" t="s">
        <v>46</v>
      </c>
      <c r="B28" s="14"/>
      <c r="C28" s="14"/>
      <c r="D28" s="15" t="n">
        <f aca="false">SUM(D23:D27)</f>
        <v>161.5</v>
      </c>
      <c r="E28" s="15" t="n">
        <f aca="false">SUM(E23:E27)</f>
        <v>39522.5</v>
      </c>
      <c r="F28" s="15" t="n">
        <f aca="false">SUM(F23:F27)</f>
        <v>1976.13</v>
      </c>
      <c r="G28" s="15" t="n">
        <f aca="false">SUM(G23:G27)</f>
        <v>41498.63</v>
      </c>
    </row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2026-09-10T07:01:59Z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