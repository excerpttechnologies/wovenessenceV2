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8A2439</t>
        </is>
      </c>
      <c r="C3" s="3" t="inlineStr">
        <is>
          <t>4-F-W BDR</t>
        </is>
      </c>
      <c r="D3" s="2" t="inlineStr">
        <is>
          <t>54074119</t>
        </is>
      </c>
      <c r="E3" s="2" t="inlineStr">
        <is>
          <t>GST 5 %</t>
        </is>
      </c>
      <c r="F3" s="2" t="inlineStr">
        <is>
          <t>Mtr</t>
        </is>
      </c>
      <c r="G3" s="4" t="n">
        <v>13.5</v>
      </c>
      <c r="H3" s="2" t="n">
        <v>9</v>
      </c>
      <c r="I3" s="5" t="n">
        <v>395</v>
      </c>
      <c r="J3" s="5" t="n">
        <v>0</v>
      </c>
      <c r="K3" s="5" t="n">
        <v>0</v>
      </c>
      <c r="L3" s="5" t="n">
        <v>395</v>
      </c>
      <c r="M3" s="5">
        <f>G3*L3</f>
        <v/>
      </c>
      <c r="N3" s="5" t="n">
        <v>0</v>
      </c>
      <c r="O3" s="5">
        <f>M3*0.025</f>
        <v/>
      </c>
      <c r="P3" s="5">
        <f>M3*0.025</f>
        <v/>
      </c>
      <c r="Q3" s="5">
        <f>M3+O3+P3</f>
        <v/>
      </c>
      <c r="R3" s="5" t="n">
        <v>690</v>
      </c>
      <c r="S3" s="5" t="n">
        <v>454.25</v>
      </c>
      <c r="T3" s="5" t="n">
        <v>513.5</v>
      </c>
      <c r="U3" s="2" t="inlineStr"/>
      <c r="V3" s="2" t="inlineStr"/>
    </row>
    <row r="4" ht="20" customHeight="1">
      <c r="A4" s="6" t="n">
        <v>2</v>
      </c>
      <c r="B4" s="6" t="inlineStr">
        <is>
          <t>8A2440</t>
        </is>
      </c>
      <c r="C4" s="7" t="inlineStr">
        <is>
          <t>4-F-W BDR</t>
        </is>
      </c>
      <c r="D4" s="6" t="inlineStr">
        <is>
          <t>54074119</t>
        </is>
      </c>
      <c r="E4" s="6" t="inlineStr">
        <is>
          <t>GST 5 %</t>
        </is>
      </c>
      <c r="F4" s="6" t="inlineStr">
        <is>
          <t>Mtr</t>
        </is>
      </c>
      <c r="G4" s="8" t="n">
        <v>14</v>
      </c>
      <c r="H4" s="6" t="n">
        <v>9</v>
      </c>
      <c r="I4" s="9" t="n">
        <v>395</v>
      </c>
      <c r="J4" s="9" t="n">
        <v>0</v>
      </c>
      <c r="K4" s="9" t="n">
        <v>0</v>
      </c>
      <c r="L4" s="9" t="n">
        <v>395</v>
      </c>
      <c r="M4" s="9">
        <f>G4*L4</f>
        <v/>
      </c>
      <c r="N4" s="9" t="n">
        <v>0</v>
      </c>
      <c r="O4" s="9">
        <f>M4*0.025</f>
        <v/>
      </c>
      <c r="P4" s="9">
        <f>M4*0.025</f>
        <v/>
      </c>
      <c r="Q4" s="9">
        <f>M4+O4+P4</f>
        <v/>
      </c>
      <c r="R4" s="9" t="n">
        <v>690</v>
      </c>
      <c r="S4" s="9" t="n">
        <v>454.25</v>
      </c>
      <c r="T4" s="9" t="n">
        <v>513.5</v>
      </c>
      <c r="U4" s="6" t="inlineStr"/>
      <c r="V4" s="6" t="inlineStr"/>
    </row>
    <row r="5" ht="20" customHeight="1">
      <c r="A5" s="2" t="n">
        <v>3</v>
      </c>
      <c r="B5" s="2" t="inlineStr">
        <is>
          <t>8A2441</t>
        </is>
      </c>
      <c r="C5" s="3" t="inlineStr">
        <is>
          <t>4-F-W BDR</t>
        </is>
      </c>
      <c r="D5" s="2" t="inlineStr">
        <is>
          <t>54074119</t>
        </is>
      </c>
      <c r="E5" s="2" t="inlineStr">
        <is>
          <t>GST 5 %</t>
        </is>
      </c>
      <c r="F5" s="2" t="inlineStr">
        <is>
          <t>Mtr</t>
        </is>
      </c>
      <c r="G5" s="4" t="n">
        <v>13.1</v>
      </c>
      <c r="H5" s="2" t="n">
        <v>9</v>
      </c>
      <c r="I5" s="5" t="n">
        <v>395</v>
      </c>
      <c r="J5" s="5" t="n">
        <v>0</v>
      </c>
      <c r="K5" s="5" t="n">
        <v>0</v>
      </c>
      <c r="L5" s="5" t="n">
        <v>395</v>
      </c>
      <c r="M5" s="5">
        <f>G5*L5</f>
        <v/>
      </c>
      <c r="N5" s="5" t="n">
        <v>0</v>
      </c>
      <c r="O5" s="5">
        <f>M5*0.025</f>
        <v/>
      </c>
      <c r="P5" s="5">
        <f>M5*0.025</f>
        <v/>
      </c>
      <c r="Q5" s="5">
        <f>M5+O5+P5</f>
        <v/>
      </c>
      <c r="R5" s="5" t="n">
        <v>690</v>
      </c>
      <c r="S5" s="5" t="n">
        <v>454.25</v>
      </c>
      <c r="T5" s="5" t="n">
        <v>513.5</v>
      </c>
      <c r="U5" s="2" t="inlineStr"/>
      <c r="V5" s="2" t="inlineStr"/>
    </row>
    <row r="6" ht="20" customHeight="1">
      <c r="A6" s="6" t="n">
        <v>4</v>
      </c>
      <c r="B6" s="6" t="inlineStr">
        <is>
          <t>8A2442</t>
        </is>
      </c>
      <c r="C6" s="7" t="inlineStr">
        <is>
          <t>4-F-W BDR</t>
        </is>
      </c>
      <c r="D6" s="6" t="inlineStr">
        <is>
          <t>54074119</t>
        </is>
      </c>
      <c r="E6" s="6" t="inlineStr">
        <is>
          <t>GST 5 %</t>
        </is>
      </c>
      <c r="F6" s="6" t="inlineStr">
        <is>
          <t>Mtr</t>
        </is>
      </c>
      <c r="G6" s="8" t="n">
        <v>13.5</v>
      </c>
      <c r="H6" s="6" t="n">
        <v>9</v>
      </c>
      <c r="I6" s="9" t="n">
        <v>395</v>
      </c>
      <c r="J6" s="9" t="n">
        <v>0</v>
      </c>
      <c r="K6" s="9" t="n">
        <v>0</v>
      </c>
      <c r="L6" s="9" t="n">
        <v>395</v>
      </c>
      <c r="M6" s="9">
        <f>G6*L6</f>
        <v/>
      </c>
      <c r="N6" s="9" t="n">
        <v>0</v>
      </c>
      <c r="O6" s="9">
        <f>M6*0.025</f>
        <v/>
      </c>
      <c r="P6" s="9">
        <f>M6*0.025</f>
        <v/>
      </c>
      <c r="Q6" s="9">
        <f>M6+O6+P6</f>
        <v/>
      </c>
      <c r="R6" s="9" t="n">
        <v>690</v>
      </c>
      <c r="S6" s="9" t="n">
        <v>454.25</v>
      </c>
      <c r="T6" s="9" t="n">
        <v>513.5</v>
      </c>
      <c r="U6" s="6" t="inlineStr"/>
      <c r="V6" s="6" t="inlineStr"/>
    </row>
    <row r="7" ht="20" customHeight="1">
      <c r="A7" s="2" t="n">
        <v>5</v>
      </c>
      <c r="B7" s="2" t="inlineStr">
        <is>
          <t>8A2443</t>
        </is>
      </c>
      <c r="C7" s="3" t="inlineStr">
        <is>
          <t>4-F-W BDR</t>
        </is>
      </c>
      <c r="D7" s="2" t="inlineStr">
        <is>
          <t>54074119</t>
        </is>
      </c>
      <c r="E7" s="2" t="inlineStr">
        <is>
          <t>GST 5 %</t>
        </is>
      </c>
      <c r="F7" s="2" t="inlineStr">
        <is>
          <t>Mtr</t>
        </is>
      </c>
      <c r="G7" s="4" t="n">
        <v>13.4</v>
      </c>
      <c r="H7" s="2" t="n">
        <v>9</v>
      </c>
      <c r="I7" s="5" t="n">
        <v>395</v>
      </c>
      <c r="J7" s="5" t="n">
        <v>0</v>
      </c>
      <c r="K7" s="5" t="n">
        <v>0</v>
      </c>
      <c r="L7" s="5" t="n">
        <v>395</v>
      </c>
      <c r="M7" s="5">
        <f>G7*L7</f>
        <v/>
      </c>
      <c r="N7" s="5" t="n">
        <v>0</v>
      </c>
      <c r="O7" s="5">
        <f>M7*0.025</f>
        <v/>
      </c>
      <c r="P7" s="5">
        <f>M7*0.025</f>
        <v/>
      </c>
      <c r="Q7" s="5">
        <f>M7+O7+P7</f>
        <v/>
      </c>
      <c r="R7" s="5" t="n">
        <v>690</v>
      </c>
      <c r="S7" s="5" t="n">
        <v>454.25</v>
      </c>
      <c r="T7" s="5" t="n">
        <v>513.5</v>
      </c>
      <c r="U7" s="2" t="inlineStr"/>
      <c r="V7" s="2" t="inlineStr"/>
    </row>
    <row r="8" ht="20" customHeight="1">
      <c r="A8" s="6" t="n">
        <v>6</v>
      </c>
      <c r="B8" s="6" t="inlineStr">
        <is>
          <t>8A2444</t>
        </is>
      </c>
      <c r="C8" s="7" t="inlineStr">
        <is>
          <t>4-F-W BDR</t>
        </is>
      </c>
      <c r="D8" s="6" t="inlineStr">
        <is>
          <t>54074119</t>
        </is>
      </c>
      <c r="E8" s="6" t="inlineStr">
        <is>
          <t>GST 5 %</t>
        </is>
      </c>
      <c r="F8" s="6" t="inlineStr">
        <is>
          <t>Mtr</t>
        </is>
      </c>
      <c r="G8" s="8" t="n">
        <v>6.6</v>
      </c>
      <c r="H8" s="6" t="n">
        <v>9</v>
      </c>
      <c r="I8" s="9" t="n">
        <v>395</v>
      </c>
      <c r="J8" s="9" t="n">
        <v>0</v>
      </c>
      <c r="K8" s="9" t="n">
        <v>0</v>
      </c>
      <c r="L8" s="9" t="n">
        <v>395</v>
      </c>
      <c r="M8" s="9">
        <f>G8*L8</f>
        <v/>
      </c>
      <c r="N8" s="9" t="n">
        <v>0</v>
      </c>
      <c r="O8" s="9">
        <f>M8*0.025</f>
        <v/>
      </c>
      <c r="P8" s="9">
        <f>M8*0.025</f>
        <v/>
      </c>
      <c r="Q8" s="9">
        <f>M8+O8+P8</f>
        <v/>
      </c>
      <c r="R8" s="9" t="n">
        <v>690</v>
      </c>
      <c r="S8" s="9" t="n">
        <v>454.25</v>
      </c>
      <c r="T8" s="9" t="n">
        <v>513.5</v>
      </c>
      <c r="U8" s="6" t="inlineStr"/>
      <c r="V8" s="6" t="inlineStr"/>
    </row>
    <row r="9" ht="20" customHeight="1">
      <c r="A9" s="2" t="n">
        <v>7</v>
      </c>
      <c r="B9" s="2" t="inlineStr">
        <is>
          <t>8A2445</t>
        </is>
      </c>
      <c r="C9" s="3" t="inlineStr">
        <is>
          <t>4-F-W BDR</t>
        </is>
      </c>
      <c r="D9" s="2" t="inlineStr">
        <is>
          <t>54074119</t>
        </is>
      </c>
      <c r="E9" s="2" t="inlineStr">
        <is>
          <t>GST 5 %</t>
        </is>
      </c>
      <c r="F9" s="2" t="inlineStr">
        <is>
          <t>Mtr</t>
        </is>
      </c>
      <c r="G9" s="4" t="n">
        <v>6.75</v>
      </c>
      <c r="H9" s="2" t="n">
        <v>9</v>
      </c>
      <c r="I9" s="5" t="n">
        <v>395</v>
      </c>
      <c r="J9" s="5" t="n">
        <v>0</v>
      </c>
      <c r="K9" s="5" t="n">
        <v>0</v>
      </c>
      <c r="L9" s="5" t="n">
        <v>395</v>
      </c>
      <c r="M9" s="5">
        <f>G9*L9</f>
        <v/>
      </c>
      <c r="N9" s="5" t="n">
        <v>0</v>
      </c>
      <c r="O9" s="5">
        <f>M9*0.025</f>
        <v/>
      </c>
      <c r="P9" s="5">
        <f>M9*0.025</f>
        <v/>
      </c>
      <c r="Q9" s="5">
        <f>M9+O9+P9</f>
        <v/>
      </c>
      <c r="R9" s="5" t="n">
        <v>690</v>
      </c>
      <c r="S9" s="5" t="n">
        <v>454.25</v>
      </c>
      <c r="T9" s="5" t="n">
        <v>513.5</v>
      </c>
      <c r="U9" s="2" t="inlineStr"/>
      <c r="V9" s="2" t="inlineStr"/>
    </row>
    <row r="10" ht="20" customHeight="1">
      <c r="A10" s="6" t="n">
        <v>8</v>
      </c>
      <c r="B10" s="6" t="inlineStr">
        <is>
          <t>8A2446</t>
        </is>
      </c>
      <c r="C10" s="7" t="inlineStr">
        <is>
          <t>4-F-W BDR</t>
        </is>
      </c>
      <c r="D10" s="6" t="inlineStr">
        <is>
          <t>54074119</t>
        </is>
      </c>
      <c r="E10" s="6" t="inlineStr">
        <is>
          <t>GST 5 %</t>
        </is>
      </c>
      <c r="F10" s="6" t="inlineStr">
        <is>
          <t>Mtr</t>
        </is>
      </c>
      <c r="G10" s="8" t="n">
        <v>12.7</v>
      </c>
      <c r="H10" s="6" t="n">
        <v>9</v>
      </c>
      <c r="I10" s="9" t="n">
        <v>395</v>
      </c>
      <c r="J10" s="9" t="n">
        <v>0</v>
      </c>
      <c r="K10" s="9" t="n">
        <v>0</v>
      </c>
      <c r="L10" s="9" t="n">
        <v>395</v>
      </c>
      <c r="M10" s="9">
        <f>G10*L10</f>
        <v/>
      </c>
      <c r="N10" s="9" t="n">
        <v>0</v>
      </c>
      <c r="O10" s="9">
        <f>M10*0.025</f>
        <v/>
      </c>
      <c r="P10" s="9">
        <f>M10*0.025</f>
        <v/>
      </c>
      <c r="Q10" s="9">
        <f>M10+O10+P10</f>
        <v/>
      </c>
      <c r="R10" s="9" t="n">
        <v>690</v>
      </c>
      <c r="S10" s="9" t="n">
        <v>454.25</v>
      </c>
      <c r="T10" s="9" t="n">
        <v>513.5</v>
      </c>
      <c r="U10" s="6" t="inlineStr"/>
      <c r="V10" s="6" t="inlineStr"/>
    </row>
    <row r="11" ht="24" customHeight="1">
      <c r="A11" s="2" t="n">
        <v>9</v>
      </c>
      <c r="B11" s="2" t="inlineStr">
        <is>
          <t>8A2447</t>
        </is>
      </c>
      <c r="C11" s="3" t="inlineStr">
        <is>
          <t>4-F-W BDR</t>
        </is>
      </c>
      <c r="D11" s="2" t="inlineStr">
        <is>
          <t>54074119</t>
        </is>
      </c>
      <c r="E11" s="2" t="inlineStr">
        <is>
          <t>GST 5 %</t>
        </is>
      </c>
      <c r="F11" s="2" t="inlineStr">
        <is>
          <t>Mtr</t>
        </is>
      </c>
      <c r="G11" s="4" t="n">
        <v>6.7</v>
      </c>
      <c r="H11" s="2" t="n">
        <v>9</v>
      </c>
      <c r="I11" s="5" t="n">
        <v>395</v>
      </c>
      <c r="J11" s="5" t="n">
        <v>0</v>
      </c>
      <c r="K11" s="5" t="n">
        <v>0</v>
      </c>
      <c r="L11" s="5" t="n">
        <v>395</v>
      </c>
      <c r="M11" s="5">
        <f>G11*L11</f>
        <v/>
      </c>
      <c r="N11" s="5" t="n">
        <v>0</v>
      </c>
      <c r="O11" s="5">
        <f>M11*0.025</f>
        <v/>
      </c>
      <c r="P11" s="5">
        <f>M11*0.025</f>
        <v/>
      </c>
      <c r="Q11" s="5">
        <f>M11+O11+P11</f>
        <v/>
      </c>
      <c r="R11" s="5" t="n">
        <v>690</v>
      </c>
      <c r="S11" s="5" t="n">
        <v>454.25</v>
      </c>
      <c r="T11" s="5" t="n">
        <v>513.5</v>
      </c>
      <c r="U11" s="2" t="inlineStr"/>
      <c r="V11" s="2" t="inlineStr"/>
    </row>
    <row r="12">
      <c r="A12" s="10" t="inlineStr">
        <is>
          <t>Total</t>
        </is>
      </c>
      <c r="B12" s="17" t="n"/>
      <c r="C12" s="17" t="n"/>
      <c r="D12" s="17" t="n"/>
      <c r="E12" s="17" t="n"/>
      <c r="F12" s="18" t="n"/>
      <c r="G12" s="11">
        <f>SUM(G3:G11)</f>
        <v/>
      </c>
      <c r="H12" s="12">
        <f>SUM(H3:H11)</f>
        <v/>
      </c>
      <c r="I12" s="11">
        <f>SUM(I3:I11)</f>
        <v/>
      </c>
      <c r="J12" s="11">
        <f>SUM(J3:J11)</f>
        <v/>
      </c>
      <c r="K12" s="11">
        <f>SUM(K3:K11)</f>
        <v/>
      </c>
      <c r="L12" s="11">
        <f>SUM(L3:L11)</f>
        <v/>
      </c>
      <c r="M12" s="11">
        <f>SUM(M3:M11)</f>
        <v/>
      </c>
      <c r="N12" s="11">
        <f>SUM(N3:N11)</f>
        <v/>
      </c>
      <c r="O12" s="11">
        <f>SUM(O3:O11)</f>
        <v/>
      </c>
      <c r="P12" s="11">
        <f>SUM(P3:P11)</f>
        <v/>
      </c>
      <c r="Q12" s="11">
        <f>SUM(Q3:Q11)</f>
        <v/>
      </c>
      <c r="R12" s="11">
        <f>SUM(R3:R11)</f>
        <v/>
      </c>
      <c r="S12" s="11">
        <f>SUM(S3:S11)</f>
        <v/>
      </c>
      <c r="T12" s="11">
        <f>SUM(T3:T11)</f>
        <v/>
      </c>
      <c r="U12" s="11" t="n"/>
      <c r="V12" s="11" t="n"/>
    </row>
    <row r="15">
      <c r="A15" s="19" t="inlineStr">
        <is>
          <t>ITEM SUMMARY</t>
        </is>
      </c>
    </row>
    <row r="17">
      <c r="A17" s="20" t="inlineStr">
        <is>
          <t>Sl No</t>
        </is>
      </c>
      <c r="B17" s="20" t="inlineStr">
        <is>
          <t>Bill Sl No.</t>
        </is>
      </c>
      <c r="C17" s="20" t="inlineStr">
        <is>
          <t>Item Name</t>
        </is>
      </c>
      <c r="D17" s="20" t="inlineStr">
        <is>
          <t>QTY</t>
        </is>
      </c>
      <c r="E17" s="20" t="inlineStr">
        <is>
          <t>Before GST Amount</t>
        </is>
      </c>
      <c r="F17" s="20" t="inlineStr">
        <is>
          <t>GST Amount</t>
        </is>
      </c>
      <c r="G17" s="20" t="inlineStr">
        <is>
          <t>Net Amount</t>
        </is>
      </c>
    </row>
    <row r="18">
      <c r="A18" s="21" t="n">
        <v>1</v>
      </c>
      <c r="B18" s="21" t="n">
        <v>1</v>
      </c>
      <c r="C18" s="21" t="inlineStr">
        <is>
          <t>4-F-W BDR</t>
        </is>
      </c>
      <c r="D18" s="22" t="n">
        <v>100.25</v>
      </c>
      <c r="E18" s="22" t="n">
        <v>39598.75</v>
      </c>
      <c r="F18" s="22" t="n">
        <v>1979.94</v>
      </c>
      <c r="G18" s="22" t="n">
        <v>41578.69</v>
      </c>
    </row>
    <row r="19">
      <c r="A19" s="23" t="n"/>
      <c r="B19" s="23" t="n"/>
      <c r="C19" s="24" t="inlineStr">
        <is>
          <t>Total</t>
        </is>
      </c>
      <c r="D19" s="25" t="n">
        <v>100.25</v>
      </c>
      <c r="E19" s="25" t="n">
        <v>39598.75</v>
      </c>
      <c r="F19" s="25" t="n">
        <v>1979.94</v>
      </c>
      <c r="G19" s="25" t="n">
        <v>41578.69</v>
      </c>
    </row>
  </sheetData>
  <mergeCells count="18">
    <mergeCell ref="U1:U2"/>
    <mergeCell ref="T1:T2"/>
    <mergeCell ref="I1:I2"/>
    <mergeCell ref="M1:M2"/>
    <mergeCell ref="Q1:Q2"/>
    <mergeCell ref="O1:O2"/>
    <mergeCell ref="J1:K1"/>
    <mergeCell ref="G1:G2"/>
    <mergeCell ref="A12:F12"/>
    <mergeCell ref="V1:V2"/>
    <mergeCell ref="H1:H2"/>
    <mergeCell ref="B1:F1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2026-09-07T06:28:29Z</dcterms:created>
  <dcterms:modified xmlns:dcterms="http://purl.org/dc/terms/" xmlns:xsi="http://www.w3.org/2001/XMLSchema-instance" xsi:type="dcterms:W3CDTF">2026-09-12T04:50:56Z</dcterms:modified>
</cp:coreProperties>
</file>