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C 05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1B365D"/>
      <sz val="10"/>
    </font>
    <font>
      <b val="1"/>
      <color rgb="00FFFFFF"/>
      <sz val="11"/>
    </font>
    <font>
      <b val="1"/>
      <sz val="13"/>
    </font>
    <font>
      <b val="1"/>
    </font>
  </fonts>
  <fills count="9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FFFFF"/>
        <bgColor rgb="00FFFFFF"/>
      </patternFill>
    </fill>
    <fill>
      <patternFill patternType="solid">
        <fgColor rgb="00F4F7FA"/>
        <bgColor rgb="00F4F7FA"/>
      </patternFill>
    </fill>
    <fill>
      <patternFill patternType="solid">
        <fgColor rgb="00E6EEF8"/>
        <bgColor rgb="00E6EEF8"/>
      </patternFill>
    </fill>
    <fill>
      <patternFill patternType="solid">
        <fgColor rgb="001F3864"/>
        <bgColor rgb="001F3864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17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B365D"/>
      </top>
      <bottom style="medium">
        <color rgb="001B365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double">
        <color rgb="001B365D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double">
        <color rgb="001B365D"/>
      </bottom>
      <diagonal/>
    </border>
    <border>
      <left/>
      <right style="thin">
        <color rgb="00CCCCCC"/>
      </right>
      <top style="thin">
        <color rgb="00CCCCCC"/>
      </top>
      <bottom style="double">
        <color rgb="001B365D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/>
      <top/>
      <bottom/>
      <diagonal/>
    </border>
    <border>
      <left style="thin">
        <color rgb="00FFFFFF"/>
      </left>
      <right style="thin">
        <color rgb="00FFFFFF"/>
      </right>
      <top/>
      <bottom/>
      <diagonal/>
    </border>
    <border>
      <left style="thin">
        <color rgb="00FFFFFF"/>
      </left>
      <right style="thin">
        <color rgb="00FFFFFF"/>
      </right>
      <top/>
      <bottom style="thin">
        <color rgb="00FFFFFF"/>
      </bottom>
      <diagonal/>
    </border>
    <border>
      <left/>
      <right/>
      <top style="thin">
        <color rgb="00FFFFFF"/>
      </top>
      <bottom/>
      <diagonal/>
    </border>
    <border>
      <left/>
      <right style="thin">
        <color rgb="00FFFFFF"/>
      </right>
      <top style="thin">
        <color rgb="00FFFFFF"/>
      </top>
      <bottom/>
      <diagonal/>
    </border>
    <border>
      <left/>
      <right/>
      <top style="thin">
        <color rgb="00FFFFFF"/>
      </top>
      <bottom style="thin">
        <color rgb="00FFFFFF"/>
      </bottom>
      <diagonal/>
    </border>
    <border>
      <left/>
      <right style="thin">
        <color rgb="00FFFFFF"/>
      </right>
      <top style="thin">
        <color rgb="00FFFFFF"/>
      </top>
      <bottom style="thin">
        <color rgb="00FFFFF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4" fontId="2" fillId="3" borderId="2" applyAlignment="1" pivotButton="0" quotePrefix="0" xfId="0">
      <alignment horizontal="right" vertical="center"/>
    </xf>
    <xf numFmtId="164" fontId="2" fillId="3" borderId="2" applyAlignment="1" pivotButton="0" quotePrefix="0" xfId="0">
      <alignment horizontal="right" vertical="center"/>
    </xf>
    <xf numFmtId="0" fontId="2" fillId="4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  <xf numFmtId="4" fontId="2" fillId="4" borderId="2" applyAlignment="1" pivotButton="0" quotePrefix="0" xfId="0">
      <alignment horizontal="right" vertical="center"/>
    </xf>
    <xf numFmtId="164" fontId="2" fillId="4" borderId="2" applyAlignment="1" pivotButton="0" quotePrefix="0" xfId="0">
      <alignment horizontal="right" vertical="center"/>
    </xf>
    <xf numFmtId="0" fontId="3" fillId="5" borderId="3" applyAlignment="1" pivotButton="0" quotePrefix="0" xfId="0">
      <alignment horizontal="right" vertical="center"/>
    </xf>
    <xf numFmtId="164" fontId="3" fillId="5" borderId="3" applyAlignment="1" pivotButton="0" quotePrefix="0" xfId="0">
      <alignment horizontal="right" vertical="center"/>
    </xf>
    <xf numFmtId="3" fontId="3" fillId="5" borderId="3" applyAlignment="1" pivotButton="0" quotePrefix="0" xfId="0">
      <alignment horizontal="right" vertical="center"/>
    </xf>
    <xf numFmtId="0" fontId="4" fillId="6" borderId="8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5" pivotButton="0" quotePrefix="0" xfId="0"/>
    <xf numFmtId="0" fontId="0" fillId="0" borderId="11" pivotButton="0" quotePrefix="0" xfId="0"/>
    <xf numFmtId="0" fontId="0" fillId="0" borderId="6" pivotButton="0" quotePrefix="0" xfId="0"/>
    <xf numFmtId="0" fontId="0" fillId="0" borderId="7" pivotButton="0" quotePrefix="0" xfId="0"/>
    <xf numFmtId="0" fontId="5" fillId="0" borderId="0" pivotButton="0" quotePrefix="0" xfId="0"/>
    <xf numFmtId="0" fontId="6" fillId="7" borderId="16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2" fontId="0" fillId="0" borderId="16" applyAlignment="1" pivotButton="0" quotePrefix="0" xfId="0">
      <alignment horizontal="right" vertical="center"/>
    </xf>
    <xf numFmtId="0" fontId="0" fillId="8" borderId="16" pivotButton="0" quotePrefix="0" xfId="0"/>
    <xf numFmtId="0" fontId="6" fillId="0" borderId="16" applyAlignment="1" pivotButton="0" quotePrefix="0" xfId="0">
      <alignment horizontal="right"/>
    </xf>
    <xf numFmtId="2" fontId="6" fillId="8" borderId="16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11" customWidth="1" min="4" max="4"/>
    <col width="18" customWidth="1" min="5" max="5"/>
    <col width="14" customWidth="1" min="6" max="6"/>
    <col width="15" customWidth="1" min="7" max="7"/>
    <col width="15" customWidth="1" min="8" max="8"/>
    <col width="16" customWidth="1" min="9" max="9"/>
    <col width="15" customWidth="1" min="10" max="10"/>
    <col width="17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1" customWidth="1" min="21" max="21"/>
    <col width="11" customWidth="1" min="22" max="22"/>
  </cols>
  <sheetData>
    <row r="1" ht="20" customHeight="1">
      <c r="A1" s="13" t="inlineStr">
        <is>
          <t>Sl No</t>
        </is>
      </c>
      <c r="B1" s="13" t="inlineStr">
        <is>
          <t>Item</t>
        </is>
      </c>
      <c r="C1" s="14" t="n"/>
      <c r="D1" s="14" t="n"/>
      <c r="E1" s="14" t="n"/>
      <c r="F1" s="15" t="n"/>
      <c r="G1" s="13" t="inlineStr">
        <is>
          <t>QTY/MTR</t>
        </is>
      </c>
      <c r="H1" s="13" t="inlineStr">
        <is>
          <t>No. of Cuts</t>
        </is>
      </c>
      <c r="I1" s="13" t="inlineStr">
        <is>
          <t>Purchase Rate</t>
        </is>
      </c>
      <c r="J1" s="13" t="inlineStr">
        <is>
          <t>Discount</t>
        </is>
      </c>
      <c r="K1" s="15" t="n"/>
      <c r="L1" s="13" t="inlineStr">
        <is>
          <t>Final Rate</t>
        </is>
      </c>
      <c r="M1" s="13" t="inlineStr">
        <is>
          <t>Before Tax</t>
        </is>
      </c>
      <c r="N1" s="13" t="inlineStr">
        <is>
          <t>IGST</t>
        </is>
      </c>
      <c r="O1" s="13" t="inlineStr">
        <is>
          <t>CGST</t>
        </is>
      </c>
      <c r="P1" s="13" t="inlineStr">
        <is>
          <t>SGST</t>
        </is>
      </c>
      <c r="Q1" s="13" t="inlineStr">
        <is>
          <t>Net Amount</t>
        </is>
      </c>
      <c r="R1" s="13" t="inlineStr">
        <is>
          <t>RSP</t>
        </is>
      </c>
      <c r="S1" s="13" t="inlineStr">
        <is>
          <t>WSP</t>
        </is>
      </c>
      <c r="T1" s="13" t="inlineStr">
        <is>
          <t>DP</t>
        </is>
      </c>
      <c r="U1" s="13" t="inlineStr">
        <is>
          <t>Variant</t>
        </is>
      </c>
      <c r="V1" s="13" t="inlineStr">
        <is>
          <t>Action</t>
        </is>
      </c>
    </row>
    <row r="2" ht="20" customHeight="1">
      <c r="A2" s="16" t="n"/>
      <c r="B2" s="13" t="inlineStr">
        <is>
          <t>Code</t>
        </is>
      </c>
      <c r="C2" s="13" t="inlineStr">
        <is>
          <t>Name</t>
        </is>
      </c>
      <c r="D2" s="13" t="inlineStr">
        <is>
          <t>HSN</t>
        </is>
      </c>
      <c r="E2" s="13" t="inlineStr">
        <is>
          <t>GST Slab</t>
        </is>
      </c>
      <c r="F2" s="13" t="inlineStr">
        <is>
          <t>UOM</t>
        </is>
      </c>
      <c r="G2" s="16" t="n"/>
      <c r="H2" s="16" t="n"/>
      <c r="I2" s="16" t="n"/>
      <c r="J2" s="13" t="inlineStr">
        <is>
          <t>%</t>
        </is>
      </c>
      <c r="K2" s="13" t="inlineStr">
        <is>
          <t>R.Off</t>
        </is>
      </c>
      <c r="L2" s="16" t="n"/>
      <c r="M2" s="16" t="n"/>
      <c r="N2" s="16" t="n"/>
      <c r="O2" s="16" t="n"/>
      <c r="P2" s="16" t="n"/>
      <c r="Q2" s="16" t="n"/>
      <c r="R2" s="16" t="n"/>
      <c r="S2" s="16" t="n"/>
      <c r="T2" s="16" t="n"/>
      <c r="U2" s="16" t="n"/>
      <c r="V2" s="16" t="n"/>
    </row>
    <row r="3" ht="20" customHeight="1">
      <c r="A3" s="2" t="n">
        <v>1</v>
      </c>
      <c r="B3" s="2" t="inlineStr">
        <is>
          <t>8A2382</t>
        </is>
      </c>
      <c r="C3" s="3" t="inlineStr">
        <is>
          <t>MS-NEW</t>
        </is>
      </c>
      <c r="D3" s="2" t="inlineStr">
        <is>
          <t>500720</t>
        </is>
      </c>
      <c r="E3" s="2" t="inlineStr">
        <is>
          <t>GST 5 %</t>
        </is>
      </c>
      <c r="F3" s="2" t="inlineStr">
        <is>
          <t>Pc(s)</t>
        </is>
      </c>
      <c r="G3" s="4" t="n">
        <v>1</v>
      </c>
      <c r="H3" s="2" t="inlineStr"/>
      <c r="I3" s="5" t="n">
        <v>4140</v>
      </c>
      <c r="J3" s="5" t="n">
        <v>0</v>
      </c>
      <c r="K3" s="5" t="n">
        <v>0</v>
      </c>
      <c r="L3" s="5" t="n">
        <v>4140</v>
      </c>
      <c r="M3" s="5">
        <f>G3*L3</f>
        <v/>
      </c>
      <c r="N3" s="5" t="n">
        <v>0</v>
      </c>
      <c r="O3" s="5">
        <f>M3*0.025</f>
        <v/>
      </c>
      <c r="P3" s="5">
        <f>M3*0.025</f>
        <v/>
      </c>
      <c r="Q3" s="5">
        <f>M3+O3+P3</f>
        <v/>
      </c>
      <c r="R3" s="5" t="n">
        <v>7080</v>
      </c>
      <c r="S3" s="5" t="n">
        <v>4761</v>
      </c>
      <c r="T3" s="5" t="n">
        <v>5382</v>
      </c>
      <c r="U3" s="2" t="inlineStr"/>
      <c r="V3" s="2" t="inlineStr"/>
    </row>
    <row r="4" ht="20" customHeight="1">
      <c r="A4" s="6" t="n">
        <v>2</v>
      </c>
      <c r="B4" s="6" t="inlineStr">
        <is>
          <t>8A2383</t>
        </is>
      </c>
      <c r="C4" s="7" t="inlineStr">
        <is>
          <t>MS-NEW</t>
        </is>
      </c>
      <c r="D4" s="6" t="inlineStr">
        <is>
          <t>500720</t>
        </is>
      </c>
      <c r="E4" s="6" t="inlineStr">
        <is>
          <t>GST 5 %</t>
        </is>
      </c>
      <c r="F4" s="6" t="inlineStr">
        <is>
          <t>Pc(s)</t>
        </is>
      </c>
      <c r="G4" s="8" t="n">
        <v>1</v>
      </c>
      <c r="H4" s="6" t="inlineStr"/>
      <c r="I4" s="9" t="n">
        <v>4140</v>
      </c>
      <c r="J4" s="9" t="n">
        <v>0</v>
      </c>
      <c r="K4" s="9" t="n">
        <v>0</v>
      </c>
      <c r="L4" s="9" t="n">
        <v>4140</v>
      </c>
      <c r="M4" s="9">
        <f>G4*L4</f>
        <v/>
      </c>
      <c r="N4" s="9" t="n">
        <v>0</v>
      </c>
      <c r="O4" s="9">
        <f>M4*0.025</f>
        <v/>
      </c>
      <c r="P4" s="9">
        <f>M4*0.025</f>
        <v/>
      </c>
      <c r="Q4" s="9">
        <f>M4+O4+P4</f>
        <v/>
      </c>
      <c r="R4" s="9" t="n">
        <v>7080</v>
      </c>
      <c r="S4" s="9" t="n">
        <v>4761</v>
      </c>
      <c r="T4" s="9" t="n">
        <v>5382</v>
      </c>
      <c r="U4" s="6" t="inlineStr"/>
      <c r="V4" s="6" t="inlineStr"/>
    </row>
    <row r="5" ht="20" customHeight="1">
      <c r="A5" s="2" t="n">
        <v>3</v>
      </c>
      <c r="B5" s="2" t="inlineStr">
        <is>
          <t>8A2384</t>
        </is>
      </c>
      <c r="C5" s="3" t="inlineStr">
        <is>
          <t>MS-NEW</t>
        </is>
      </c>
      <c r="D5" s="2" t="inlineStr">
        <is>
          <t>500720</t>
        </is>
      </c>
      <c r="E5" s="2" t="inlineStr">
        <is>
          <t>GST 5 %</t>
        </is>
      </c>
      <c r="F5" s="2" t="inlineStr">
        <is>
          <t>Pc(s)</t>
        </is>
      </c>
      <c r="G5" s="4" t="n">
        <v>1</v>
      </c>
      <c r="H5" s="2" t="inlineStr"/>
      <c r="I5" s="5" t="n">
        <v>4140</v>
      </c>
      <c r="J5" s="5" t="n">
        <v>0</v>
      </c>
      <c r="K5" s="5" t="n">
        <v>0</v>
      </c>
      <c r="L5" s="5" t="n">
        <v>4140</v>
      </c>
      <c r="M5" s="5">
        <f>G5*L5</f>
        <v/>
      </c>
      <c r="N5" s="5" t="n">
        <v>0</v>
      </c>
      <c r="O5" s="5">
        <f>M5*0.025</f>
        <v/>
      </c>
      <c r="P5" s="5">
        <f>M5*0.025</f>
        <v/>
      </c>
      <c r="Q5" s="5">
        <f>M5+O5+P5</f>
        <v/>
      </c>
      <c r="R5" s="5" t="n">
        <v>7080</v>
      </c>
      <c r="S5" s="5" t="n">
        <v>4761</v>
      </c>
      <c r="T5" s="5" t="n">
        <v>5382</v>
      </c>
      <c r="U5" s="2" t="inlineStr"/>
      <c r="V5" s="2" t="inlineStr"/>
    </row>
    <row r="6" ht="20" customHeight="1">
      <c r="A6" s="6" t="n">
        <v>4</v>
      </c>
      <c r="B6" s="6" t="inlineStr">
        <is>
          <t>8A2385</t>
        </is>
      </c>
      <c r="C6" s="7" t="inlineStr">
        <is>
          <t>MS-NEW</t>
        </is>
      </c>
      <c r="D6" s="6" t="inlineStr">
        <is>
          <t>500720</t>
        </is>
      </c>
      <c r="E6" s="6" t="inlineStr">
        <is>
          <t>GST 5 %</t>
        </is>
      </c>
      <c r="F6" s="6" t="inlineStr">
        <is>
          <t>Pc(s)</t>
        </is>
      </c>
      <c r="G6" s="8" t="n">
        <v>1</v>
      </c>
      <c r="H6" s="6" t="inlineStr"/>
      <c r="I6" s="9" t="n">
        <v>4140</v>
      </c>
      <c r="J6" s="9" t="n">
        <v>0</v>
      </c>
      <c r="K6" s="9" t="n">
        <v>0</v>
      </c>
      <c r="L6" s="9" t="n">
        <v>4140</v>
      </c>
      <c r="M6" s="9">
        <f>G6*L6</f>
        <v/>
      </c>
      <c r="N6" s="9" t="n">
        <v>0</v>
      </c>
      <c r="O6" s="9">
        <f>M6*0.025</f>
        <v/>
      </c>
      <c r="P6" s="9">
        <f>M6*0.025</f>
        <v/>
      </c>
      <c r="Q6" s="9">
        <f>M6+O6+P6</f>
        <v/>
      </c>
      <c r="R6" s="9" t="n">
        <v>7080</v>
      </c>
      <c r="S6" s="9" t="n">
        <v>4761</v>
      </c>
      <c r="T6" s="9" t="n">
        <v>5382</v>
      </c>
      <c r="U6" s="6" t="inlineStr"/>
      <c r="V6" s="6" t="inlineStr"/>
    </row>
    <row r="7" ht="20" customHeight="1">
      <c r="A7" s="2" t="n">
        <v>5</v>
      </c>
      <c r="B7" s="2" t="inlineStr">
        <is>
          <t>8A2386</t>
        </is>
      </c>
      <c r="C7" s="3" t="inlineStr">
        <is>
          <t>MS-NEW</t>
        </is>
      </c>
      <c r="D7" s="2" t="inlineStr">
        <is>
          <t>500720</t>
        </is>
      </c>
      <c r="E7" s="2" t="inlineStr">
        <is>
          <t>GST 5 %</t>
        </is>
      </c>
      <c r="F7" s="2" t="inlineStr">
        <is>
          <t>Pc(s)</t>
        </is>
      </c>
      <c r="G7" s="4" t="n">
        <v>1</v>
      </c>
      <c r="H7" s="2" t="inlineStr"/>
      <c r="I7" s="5" t="n">
        <v>4140</v>
      </c>
      <c r="J7" s="5" t="n">
        <v>0</v>
      </c>
      <c r="K7" s="5" t="n">
        <v>0</v>
      </c>
      <c r="L7" s="5" t="n">
        <v>4140</v>
      </c>
      <c r="M7" s="5">
        <f>G7*L7</f>
        <v/>
      </c>
      <c r="N7" s="5" t="n">
        <v>0</v>
      </c>
      <c r="O7" s="5">
        <f>M7*0.025</f>
        <v/>
      </c>
      <c r="P7" s="5">
        <f>M7*0.025</f>
        <v/>
      </c>
      <c r="Q7" s="5">
        <f>M7+O7+P7</f>
        <v/>
      </c>
      <c r="R7" s="5" t="n">
        <v>7080</v>
      </c>
      <c r="S7" s="5" t="n">
        <v>4761</v>
      </c>
      <c r="T7" s="5" t="n">
        <v>5382</v>
      </c>
      <c r="U7" s="2" t="inlineStr"/>
      <c r="V7" s="2" t="inlineStr"/>
    </row>
    <row r="8" ht="20" customHeight="1">
      <c r="A8" s="6" t="n">
        <v>6</v>
      </c>
      <c r="B8" s="6" t="inlineStr">
        <is>
          <t>8A2387</t>
        </is>
      </c>
      <c r="C8" s="7" t="inlineStr">
        <is>
          <t>MS-NEW</t>
        </is>
      </c>
      <c r="D8" s="6" t="inlineStr">
        <is>
          <t>500720</t>
        </is>
      </c>
      <c r="E8" s="6" t="inlineStr">
        <is>
          <t>GST 5 %</t>
        </is>
      </c>
      <c r="F8" s="6" t="inlineStr">
        <is>
          <t>Pc(s)</t>
        </is>
      </c>
      <c r="G8" s="8" t="n">
        <v>1</v>
      </c>
      <c r="H8" s="6" t="inlineStr"/>
      <c r="I8" s="9" t="n">
        <v>4140</v>
      </c>
      <c r="J8" s="9" t="n">
        <v>0</v>
      </c>
      <c r="K8" s="9" t="n">
        <v>0</v>
      </c>
      <c r="L8" s="9" t="n">
        <v>4140</v>
      </c>
      <c r="M8" s="9">
        <f>G8*L8</f>
        <v/>
      </c>
      <c r="N8" s="9" t="n">
        <v>0</v>
      </c>
      <c r="O8" s="9">
        <f>M8*0.025</f>
        <v/>
      </c>
      <c r="P8" s="9">
        <f>M8*0.025</f>
        <v/>
      </c>
      <c r="Q8" s="9">
        <f>M8+O8+P8</f>
        <v/>
      </c>
      <c r="R8" s="9" t="n">
        <v>7080</v>
      </c>
      <c r="S8" s="9" t="n">
        <v>4761</v>
      </c>
      <c r="T8" s="9" t="n">
        <v>5382</v>
      </c>
      <c r="U8" s="6" t="inlineStr"/>
      <c r="V8" s="6" t="inlineStr"/>
    </row>
    <row r="9" ht="20" customHeight="1">
      <c r="A9" s="2" t="n">
        <v>7</v>
      </c>
      <c r="B9" s="2" t="inlineStr">
        <is>
          <t>8A2388</t>
        </is>
      </c>
      <c r="C9" s="3" t="inlineStr">
        <is>
          <t>MS-NEW</t>
        </is>
      </c>
      <c r="D9" s="2" t="inlineStr">
        <is>
          <t>500720</t>
        </is>
      </c>
      <c r="E9" s="2" t="inlineStr">
        <is>
          <t>GST 5 %</t>
        </is>
      </c>
      <c r="F9" s="2" t="inlineStr">
        <is>
          <t>Pc(s)</t>
        </is>
      </c>
      <c r="G9" s="4" t="n">
        <v>1</v>
      </c>
      <c r="H9" s="2" t="inlineStr"/>
      <c r="I9" s="5" t="n">
        <v>4140</v>
      </c>
      <c r="J9" s="5" t="n">
        <v>0</v>
      </c>
      <c r="K9" s="5" t="n">
        <v>0</v>
      </c>
      <c r="L9" s="5" t="n">
        <v>4140</v>
      </c>
      <c r="M9" s="5">
        <f>G9*L9</f>
        <v/>
      </c>
      <c r="N9" s="5" t="n">
        <v>0</v>
      </c>
      <c r="O9" s="5">
        <f>M9*0.025</f>
        <v/>
      </c>
      <c r="P9" s="5">
        <f>M9*0.025</f>
        <v/>
      </c>
      <c r="Q9" s="5">
        <f>M9+O9+P9</f>
        <v/>
      </c>
      <c r="R9" s="5" t="n">
        <v>7080</v>
      </c>
      <c r="S9" s="5" t="n">
        <v>4761</v>
      </c>
      <c r="T9" s="5" t="n">
        <v>5382</v>
      </c>
      <c r="U9" s="2" t="inlineStr"/>
      <c r="V9" s="2" t="inlineStr"/>
    </row>
    <row r="10" ht="20" customHeight="1">
      <c r="A10" s="6" t="n">
        <v>8</v>
      </c>
      <c r="B10" s="6" t="inlineStr">
        <is>
          <t>8A2389</t>
        </is>
      </c>
      <c r="C10" s="7" t="inlineStr">
        <is>
          <t>MS-NEW</t>
        </is>
      </c>
      <c r="D10" s="6" t="inlineStr">
        <is>
          <t>500720</t>
        </is>
      </c>
      <c r="E10" s="6" t="inlineStr">
        <is>
          <t>GST 5 %</t>
        </is>
      </c>
      <c r="F10" s="6" t="inlineStr">
        <is>
          <t>Pc(s)</t>
        </is>
      </c>
      <c r="G10" s="8" t="n">
        <v>1</v>
      </c>
      <c r="H10" s="6" t="inlineStr"/>
      <c r="I10" s="9" t="n">
        <v>4140</v>
      </c>
      <c r="J10" s="9" t="n">
        <v>0</v>
      </c>
      <c r="K10" s="9" t="n">
        <v>0</v>
      </c>
      <c r="L10" s="9" t="n">
        <v>4140</v>
      </c>
      <c r="M10" s="9">
        <f>G10*L10</f>
        <v/>
      </c>
      <c r="N10" s="9" t="n">
        <v>0</v>
      </c>
      <c r="O10" s="9">
        <f>M10*0.025</f>
        <v/>
      </c>
      <c r="P10" s="9">
        <f>M10*0.025</f>
        <v/>
      </c>
      <c r="Q10" s="9">
        <f>M10+O10+P10</f>
        <v/>
      </c>
      <c r="R10" s="9" t="n">
        <v>7080</v>
      </c>
      <c r="S10" s="9" t="n">
        <v>4761</v>
      </c>
      <c r="T10" s="9" t="n">
        <v>5382</v>
      </c>
      <c r="U10" s="6" t="inlineStr"/>
      <c r="V10" s="6" t="inlineStr"/>
    </row>
    <row r="11" ht="20" customHeight="1">
      <c r="A11" s="2" t="n">
        <v>9</v>
      </c>
      <c r="B11" s="2" t="inlineStr">
        <is>
          <t>8A2390</t>
        </is>
      </c>
      <c r="C11" s="3" t="inlineStr">
        <is>
          <t>MS-NEW</t>
        </is>
      </c>
      <c r="D11" s="2" t="inlineStr">
        <is>
          <t>500720</t>
        </is>
      </c>
      <c r="E11" s="2" t="inlineStr">
        <is>
          <t>GST 5 %</t>
        </is>
      </c>
      <c r="F11" s="2" t="inlineStr">
        <is>
          <t>Pc(s)</t>
        </is>
      </c>
      <c r="G11" s="4" t="n">
        <v>1</v>
      </c>
      <c r="H11" s="2" t="inlineStr"/>
      <c r="I11" s="5" t="n">
        <v>4140</v>
      </c>
      <c r="J11" s="5" t="n">
        <v>0</v>
      </c>
      <c r="K11" s="5" t="n">
        <v>0</v>
      </c>
      <c r="L11" s="5" t="n">
        <v>4140</v>
      </c>
      <c r="M11" s="5">
        <f>G11*L11</f>
        <v/>
      </c>
      <c r="N11" s="5" t="n">
        <v>0</v>
      </c>
      <c r="O11" s="5">
        <f>M11*0.025</f>
        <v/>
      </c>
      <c r="P11" s="5">
        <f>M11*0.025</f>
        <v/>
      </c>
      <c r="Q11" s="5">
        <f>M11+O11+P11</f>
        <v/>
      </c>
      <c r="R11" s="5" t="n">
        <v>7080</v>
      </c>
      <c r="S11" s="5" t="n">
        <v>4761</v>
      </c>
      <c r="T11" s="5" t="n">
        <v>5382</v>
      </c>
      <c r="U11" s="2" t="inlineStr"/>
      <c r="V11" s="2" t="inlineStr"/>
    </row>
    <row r="12" ht="20" customHeight="1">
      <c r="A12" s="6" t="n">
        <v>10</v>
      </c>
      <c r="B12" s="6" t="inlineStr">
        <is>
          <t>8A2391</t>
        </is>
      </c>
      <c r="C12" s="7" t="inlineStr">
        <is>
          <t>MS-NEW</t>
        </is>
      </c>
      <c r="D12" s="6" t="inlineStr">
        <is>
          <t>500720</t>
        </is>
      </c>
      <c r="E12" s="6" t="inlineStr">
        <is>
          <t>GST 5 %</t>
        </is>
      </c>
      <c r="F12" s="6" t="inlineStr">
        <is>
          <t>Pc(s)</t>
        </is>
      </c>
      <c r="G12" s="8" t="n">
        <v>1</v>
      </c>
      <c r="H12" s="6" t="inlineStr"/>
      <c r="I12" s="9" t="n">
        <v>4370</v>
      </c>
      <c r="J12" s="9" t="n">
        <v>0</v>
      </c>
      <c r="K12" s="9" t="n">
        <v>0</v>
      </c>
      <c r="L12" s="9" t="n">
        <v>4370</v>
      </c>
      <c r="M12" s="9">
        <f>G12*L12</f>
        <v/>
      </c>
      <c r="N12" s="9" t="n">
        <v>0</v>
      </c>
      <c r="O12" s="9">
        <f>M12*0.025</f>
        <v/>
      </c>
      <c r="P12" s="9">
        <f>M12*0.025</f>
        <v/>
      </c>
      <c r="Q12" s="9">
        <f>M12+O12+P12</f>
        <v/>
      </c>
      <c r="R12" s="9" t="n">
        <v>7490</v>
      </c>
      <c r="S12" s="9" t="n">
        <v>5025.5</v>
      </c>
      <c r="T12" s="9" t="n">
        <v>5681</v>
      </c>
      <c r="U12" s="6" t="inlineStr"/>
      <c r="V12" s="6" t="inlineStr"/>
    </row>
    <row r="13" ht="20" customHeight="1">
      <c r="A13" s="2" t="n">
        <v>11</v>
      </c>
      <c r="B13" s="2" t="inlineStr">
        <is>
          <t>8A2392</t>
        </is>
      </c>
      <c r="C13" s="3" t="inlineStr">
        <is>
          <t>MS-NEW</t>
        </is>
      </c>
      <c r="D13" s="2" t="inlineStr">
        <is>
          <t>500720</t>
        </is>
      </c>
      <c r="E13" s="2" t="inlineStr">
        <is>
          <t>GST 5 %</t>
        </is>
      </c>
      <c r="F13" s="2" t="inlineStr">
        <is>
          <t>Pc(s)</t>
        </is>
      </c>
      <c r="G13" s="4" t="n">
        <v>1</v>
      </c>
      <c r="H13" s="2" t="inlineStr"/>
      <c r="I13" s="5" t="n">
        <v>4370</v>
      </c>
      <c r="J13" s="5" t="n">
        <v>0</v>
      </c>
      <c r="K13" s="5" t="n">
        <v>0</v>
      </c>
      <c r="L13" s="5" t="n">
        <v>4370</v>
      </c>
      <c r="M13" s="5">
        <f>G13*L13</f>
        <v/>
      </c>
      <c r="N13" s="5" t="n">
        <v>0</v>
      </c>
      <c r="O13" s="5">
        <f>M13*0.025</f>
        <v/>
      </c>
      <c r="P13" s="5">
        <f>M13*0.025</f>
        <v/>
      </c>
      <c r="Q13" s="5">
        <f>M13+O13+P13</f>
        <v/>
      </c>
      <c r="R13" s="5" t="n">
        <v>7490</v>
      </c>
      <c r="S13" s="5" t="n">
        <v>5025.5</v>
      </c>
      <c r="T13" s="5" t="n">
        <v>5681</v>
      </c>
      <c r="U13" s="2" t="inlineStr"/>
      <c r="V13" s="2" t="inlineStr"/>
    </row>
    <row r="14" ht="20" customHeight="1">
      <c r="A14" s="6" t="n">
        <v>12</v>
      </c>
      <c r="B14" s="6" t="inlineStr">
        <is>
          <t>8A2393</t>
        </is>
      </c>
      <c r="C14" s="7" t="inlineStr">
        <is>
          <t>MS-NEW</t>
        </is>
      </c>
      <c r="D14" s="6" t="inlineStr">
        <is>
          <t>500720</t>
        </is>
      </c>
      <c r="E14" s="6" t="inlineStr">
        <is>
          <t>GST 5 %</t>
        </is>
      </c>
      <c r="F14" s="6" t="inlineStr">
        <is>
          <t>Pc(s)</t>
        </is>
      </c>
      <c r="G14" s="8" t="n">
        <v>1</v>
      </c>
      <c r="H14" s="6" t="inlineStr"/>
      <c r="I14" s="9" t="n">
        <v>4370</v>
      </c>
      <c r="J14" s="9" t="n">
        <v>0</v>
      </c>
      <c r="K14" s="9" t="n">
        <v>0</v>
      </c>
      <c r="L14" s="9" t="n">
        <v>4370</v>
      </c>
      <c r="M14" s="9">
        <f>G14*L14</f>
        <v/>
      </c>
      <c r="N14" s="9" t="n">
        <v>0</v>
      </c>
      <c r="O14" s="9">
        <f>M14*0.025</f>
        <v/>
      </c>
      <c r="P14" s="9">
        <f>M14*0.025</f>
        <v/>
      </c>
      <c r="Q14" s="9">
        <f>M14+O14+P14</f>
        <v/>
      </c>
      <c r="R14" s="9" t="n">
        <v>7490</v>
      </c>
      <c r="S14" s="9" t="n">
        <v>5025.5</v>
      </c>
      <c r="T14" s="9" t="n">
        <v>5681</v>
      </c>
      <c r="U14" s="6" t="inlineStr"/>
      <c r="V14" s="6" t="inlineStr"/>
    </row>
    <row r="15" ht="20" customHeight="1">
      <c r="A15" s="2" t="n">
        <v>13</v>
      </c>
      <c r="B15" s="2" t="inlineStr">
        <is>
          <t>8A2394</t>
        </is>
      </c>
      <c r="C15" s="3" t="inlineStr">
        <is>
          <t>MS-NEW</t>
        </is>
      </c>
      <c r="D15" s="2" t="inlineStr">
        <is>
          <t>500720</t>
        </is>
      </c>
      <c r="E15" s="2" t="inlineStr">
        <is>
          <t>GST 5 %</t>
        </is>
      </c>
      <c r="F15" s="2" t="inlineStr">
        <is>
          <t>Pc(s)</t>
        </is>
      </c>
      <c r="G15" s="4" t="n">
        <v>1</v>
      </c>
      <c r="H15" s="2" t="inlineStr"/>
      <c r="I15" s="5" t="n">
        <v>4370</v>
      </c>
      <c r="J15" s="5" t="n">
        <v>0</v>
      </c>
      <c r="K15" s="5" t="n">
        <v>0</v>
      </c>
      <c r="L15" s="5" t="n">
        <v>4370</v>
      </c>
      <c r="M15" s="5">
        <f>G15*L15</f>
        <v/>
      </c>
      <c r="N15" s="5" t="n">
        <v>0</v>
      </c>
      <c r="O15" s="5">
        <f>M15*0.025</f>
        <v/>
      </c>
      <c r="P15" s="5">
        <f>M15*0.025</f>
        <v/>
      </c>
      <c r="Q15" s="5">
        <f>M15+O15+P15</f>
        <v/>
      </c>
      <c r="R15" s="5" t="n">
        <v>7490</v>
      </c>
      <c r="S15" s="5" t="n">
        <v>5025.5</v>
      </c>
      <c r="T15" s="5" t="n">
        <v>5681</v>
      </c>
      <c r="U15" s="2" t="inlineStr"/>
      <c r="V15" s="2" t="inlineStr"/>
    </row>
    <row r="16" ht="20" customHeight="1">
      <c r="A16" s="6" t="n">
        <v>14</v>
      </c>
      <c r="B16" s="6" t="inlineStr">
        <is>
          <t>8A2395</t>
        </is>
      </c>
      <c r="C16" s="7" t="inlineStr">
        <is>
          <t>MS-NEW</t>
        </is>
      </c>
      <c r="D16" s="6" t="inlineStr">
        <is>
          <t>500720</t>
        </is>
      </c>
      <c r="E16" s="6" t="inlineStr">
        <is>
          <t>GST 5 %</t>
        </is>
      </c>
      <c r="F16" s="6" t="inlineStr">
        <is>
          <t>Pc(s)</t>
        </is>
      </c>
      <c r="G16" s="8" t="n">
        <v>1</v>
      </c>
      <c r="H16" s="6" t="inlineStr"/>
      <c r="I16" s="9" t="n">
        <v>4370</v>
      </c>
      <c r="J16" s="9" t="n">
        <v>0</v>
      </c>
      <c r="K16" s="9" t="n">
        <v>0</v>
      </c>
      <c r="L16" s="9" t="n">
        <v>4370</v>
      </c>
      <c r="M16" s="9">
        <f>G16*L16</f>
        <v/>
      </c>
      <c r="N16" s="9" t="n">
        <v>0</v>
      </c>
      <c r="O16" s="9">
        <f>M16*0.025</f>
        <v/>
      </c>
      <c r="P16" s="9">
        <f>M16*0.025</f>
        <v/>
      </c>
      <c r="Q16" s="9">
        <f>M16+O16+P16</f>
        <v/>
      </c>
      <c r="R16" s="9" t="n">
        <v>7490</v>
      </c>
      <c r="S16" s="9" t="n">
        <v>5025.5</v>
      </c>
      <c r="T16" s="9" t="n">
        <v>5681</v>
      </c>
      <c r="U16" s="6" t="inlineStr"/>
      <c r="V16" s="6" t="inlineStr"/>
    </row>
    <row r="17" ht="20" customHeight="1">
      <c r="A17" s="2" t="n">
        <v>15</v>
      </c>
      <c r="B17" s="2" t="inlineStr">
        <is>
          <t>8A2396</t>
        </is>
      </c>
      <c r="C17" s="3" t="inlineStr">
        <is>
          <t>MS-NEW</t>
        </is>
      </c>
      <c r="D17" s="2" t="inlineStr">
        <is>
          <t>500720</t>
        </is>
      </c>
      <c r="E17" s="2" t="inlineStr">
        <is>
          <t>GST 5 %</t>
        </is>
      </c>
      <c r="F17" s="2" t="inlineStr">
        <is>
          <t>Pc(s)</t>
        </is>
      </c>
      <c r="G17" s="4" t="n">
        <v>1</v>
      </c>
      <c r="H17" s="2" t="inlineStr"/>
      <c r="I17" s="5" t="n">
        <v>4370</v>
      </c>
      <c r="J17" s="5" t="n">
        <v>0</v>
      </c>
      <c r="K17" s="5" t="n">
        <v>0</v>
      </c>
      <c r="L17" s="5" t="n">
        <v>4370</v>
      </c>
      <c r="M17" s="5">
        <f>G17*L17</f>
        <v/>
      </c>
      <c r="N17" s="5" t="n">
        <v>0</v>
      </c>
      <c r="O17" s="5">
        <f>M17*0.025</f>
        <v/>
      </c>
      <c r="P17" s="5">
        <f>M17*0.025</f>
        <v/>
      </c>
      <c r="Q17" s="5">
        <f>M17+O17+P17</f>
        <v/>
      </c>
      <c r="R17" s="5" t="n">
        <v>7490</v>
      </c>
      <c r="S17" s="5" t="n">
        <v>5025.5</v>
      </c>
      <c r="T17" s="5" t="n">
        <v>5681</v>
      </c>
      <c r="U17" s="2" t="inlineStr"/>
      <c r="V17" s="2" t="inlineStr"/>
    </row>
    <row r="18" ht="20" customHeight="1">
      <c r="A18" s="6" t="n">
        <v>16</v>
      </c>
      <c r="B18" s="6" t="inlineStr">
        <is>
          <t>8A2397</t>
        </is>
      </c>
      <c r="C18" s="7" t="inlineStr">
        <is>
          <t>MS-NEW</t>
        </is>
      </c>
      <c r="D18" s="6" t="inlineStr">
        <is>
          <t>500720</t>
        </is>
      </c>
      <c r="E18" s="6" t="inlineStr">
        <is>
          <t>GST 5 %</t>
        </is>
      </c>
      <c r="F18" s="6" t="inlineStr">
        <is>
          <t>Pc(s)</t>
        </is>
      </c>
      <c r="G18" s="8" t="n">
        <v>1</v>
      </c>
      <c r="H18" s="6" t="inlineStr"/>
      <c r="I18" s="9" t="n">
        <v>4600</v>
      </c>
      <c r="J18" s="9" t="n">
        <v>0</v>
      </c>
      <c r="K18" s="9" t="n">
        <v>0</v>
      </c>
      <c r="L18" s="9" t="n">
        <v>4600</v>
      </c>
      <c r="M18" s="9">
        <f>G18*L18</f>
        <v/>
      </c>
      <c r="N18" s="9" t="n">
        <v>0</v>
      </c>
      <c r="O18" s="9">
        <f>M18*0.025</f>
        <v/>
      </c>
      <c r="P18" s="9">
        <f>M18*0.025</f>
        <v/>
      </c>
      <c r="Q18" s="9">
        <f>M18+O18+P18</f>
        <v/>
      </c>
      <c r="R18" s="9" t="n">
        <v>7890</v>
      </c>
      <c r="S18" s="9" t="n">
        <v>5290</v>
      </c>
      <c r="T18" s="9" t="n">
        <v>5980</v>
      </c>
      <c r="U18" s="6" t="inlineStr"/>
      <c r="V18" s="6" t="inlineStr"/>
    </row>
    <row r="19" ht="20" customHeight="1">
      <c r="A19" s="2" t="n">
        <v>17</v>
      </c>
      <c r="B19" s="2" t="inlineStr">
        <is>
          <t>8A2398</t>
        </is>
      </c>
      <c r="C19" s="3" t="inlineStr">
        <is>
          <t>MS-NEW</t>
        </is>
      </c>
      <c r="D19" s="2" t="inlineStr">
        <is>
          <t>500720</t>
        </is>
      </c>
      <c r="E19" s="2" t="inlineStr">
        <is>
          <t>GST 5 %</t>
        </is>
      </c>
      <c r="F19" s="2" t="inlineStr">
        <is>
          <t>Pc(s)</t>
        </is>
      </c>
      <c r="G19" s="4" t="n">
        <v>1</v>
      </c>
      <c r="H19" s="2" t="inlineStr"/>
      <c r="I19" s="5" t="n">
        <v>4600</v>
      </c>
      <c r="J19" s="5" t="n">
        <v>0</v>
      </c>
      <c r="K19" s="5" t="n">
        <v>0</v>
      </c>
      <c r="L19" s="5" t="n">
        <v>4600</v>
      </c>
      <c r="M19" s="5">
        <f>G19*L19</f>
        <v/>
      </c>
      <c r="N19" s="5" t="n">
        <v>0</v>
      </c>
      <c r="O19" s="5">
        <f>M19*0.025</f>
        <v/>
      </c>
      <c r="P19" s="5">
        <f>M19*0.025</f>
        <v/>
      </c>
      <c r="Q19" s="5">
        <f>M19+O19+P19</f>
        <v/>
      </c>
      <c r="R19" s="5" t="n">
        <v>7890</v>
      </c>
      <c r="S19" s="5" t="n">
        <v>5290</v>
      </c>
      <c r="T19" s="5" t="n">
        <v>5980</v>
      </c>
      <c r="U19" s="2" t="inlineStr"/>
      <c r="V19" s="2" t="inlineStr"/>
    </row>
    <row r="20" ht="20" customHeight="1">
      <c r="A20" s="6" t="n">
        <v>18</v>
      </c>
      <c r="B20" s="6" t="inlineStr">
        <is>
          <t>8A2399</t>
        </is>
      </c>
      <c r="C20" s="7" t="inlineStr">
        <is>
          <t>MS-NEW</t>
        </is>
      </c>
      <c r="D20" s="6" t="inlineStr">
        <is>
          <t>500720</t>
        </is>
      </c>
      <c r="E20" s="6" t="inlineStr">
        <is>
          <t>GST 5 %</t>
        </is>
      </c>
      <c r="F20" s="6" t="inlineStr">
        <is>
          <t>Pc(s)</t>
        </is>
      </c>
      <c r="G20" s="8" t="n">
        <v>1</v>
      </c>
      <c r="H20" s="6" t="inlineStr"/>
      <c r="I20" s="9" t="n">
        <v>4600</v>
      </c>
      <c r="J20" s="9" t="n">
        <v>0</v>
      </c>
      <c r="K20" s="9" t="n">
        <v>0</v>
      </c>
      <c r="L20" s="9" t="n">
        <v>4600</v>
      </c>
      <c r="M20" s="9">
        <f>G20*L20</f>
        <v/>
      </c>
      <c r="N20" s="9" t="n">
        <v>0</v>
      </c>
      <c r="O20" s="9">
        <f>M20*0.025</f>
        <v/>
      </c>
      <c r="P20" s="9">
        <f>M20*0.025</f>
        <v/>
      </c>
      <c r="Q20" s="9">
        <f>M20+O20+P20</f>
        <v/>
      </c>
      <c r="R20" s="9" t="n">
        <v>7890</v>
      </c>
      <c r="S20" s="9" t="n">
        <v>5290</v>
      </c>
      <c r="T20" s="9" t="n">
        <v>5980</v>
      </c>
      <c r="U20" s="6" t="inlineStr"/>
      <c r="V20" s="6" t="inlineStr"/>
    </row>
    <row r="21" ht="20" customHeight="1">
      <c r="A21" s="2" t="n">
        <v>19</v>
      </c>
      <c r="B21" s="2" t="inlineStr">
        <is>
          <t>8A2400</t>
        </is>
      </c>
      <c r="C21" s="3" t="inlineStr">
        <is>
          <t>MS-NEW</t>
        </is>
      </c>
      <c r="D21" s="2" t="inlineStr">
        <is>
          <t>500720</t>
        </is>
      </c>
      <c r="E21" s="2" t="inlineStr">
        <is>
          <t>GST 5 %</t>
        </is>
      </c>
      <c r="F21" s="2" t="inlineStr">
        <is>
          <t>Pc(s)</t>
        </is>
      </c>
      <c r="G21" s="4" t="n">
        <v>1</v>
      </c>
      <c r="H21" s="2" t="inlineStr"/>
      <c r="I21" s="5" t="n">
        <v>4600</v>
      </c>
      <c r="J21" s="5" t="n">
        <v>0</v>
      </c>
      <c r="K21" s="5" t="n">
        <v>0</v>
      </c>
      <c r="L21" s="5" t="n">
        <v>4600</v>
      </c>
      <c r="M21" s="5">
        <f>G21*L21</f>
        <v/>
      </c>
      <c r="N21" s="5" t="n">
        <v>0</v>
      </c>
      <c r="O21" s="5">
        <f>M21*0.025</f>
        <v/>
      </c>
      <c r="P21" s="5">
        <f>M21*0.025</f>
        <v/>
      </c>
      <c r="Q21" s="5">
        <f>M21+O21+P21</f>
        <v/>
      </c>
      <c r="R21" s="5" t="n">
        <v>7890</v>
      </c>
      <c r="S21" s="5" t="n">
        <v>5290</v>
      </c>
      <c r="T21" s="5" t="n">
        <v>5980</v>
      </c>
      <c r="U21" s="2" t="inlineStr"/>
      <c r="V21" s="2" t="inlineStr"/>
    </row>
    <row r="22" ht="20" customHeight="1">
      <c r="A22" s="6" t="n">
        <v>20</v>
      </c>
      <c r="B22" s="6" t="inlineStr">
        <is>
          <t>8A2401</t>
        </is>
      </c>
      <c r="C22" s="7" t="inlineStr">
        <is>
          <t>MS-NEW</t>
        </is>
      </c>
      <c r="D22" s="6" t="inlineStr">
        <is>
          <t>500720</t>
        </is>
      </c>
      <c r="E22" s="6" t="inlineStr">
        <is>
          <t>GST 5 %</t>
        </is>
      </c>
      <c r="F22" s="6" t="inlineStr">
        <is>
          <t>Pc(s)</t>
        </is>
      </c>
      <c r="G22" s="8" t="n">
        <v>1</v>
      </c>
      <c r="H22" s="6" t="inlineStr"/>
      <c r="I22" s="9" t="n">
        <v>4600</v>
      </c>
      <c r="J22" s="9" t="n">
        <v>0</v>
      </c>
      <c r="K22" s="9" t="n">
        <v>0</v>
      </c>
      <c r="L22" s="9" t="n">
        <v>4600</v>
      </c>
      <c r="M22" s="9">
        <f>G22*L22</f>
        <v/>
      </c>
      <c r="N22" s="9" t="n">
        <v>0</v>
      </c>
      <c r="O22" s="9">
        <f>M22*0.025</f>
        <v/>
      </c>
      <c r="P22" s="9">
        <f>M22*0.025</f>
        <v/>
      </c>
      <c r="Q22" s="9">
        <f>M22+O22+P22</f>
        <v/>
      </c>
      <c r="R22" s="9" t="n">
        <v>7890</v>
      </c>
      <c r="S22" s="9" t="n">
        <v>5290</v>
      </c>
      <c r="T22" s="9" t="n">
        <v>5980</v>
      </c>
      <c r="U22" s="6" t="inlineStr"/>
      <c r="V22" s="6" t="inlineStr"/>
    </row>
    <row r="23" ht="20" customHeight="1">
      <c r="A23" s="2" t="n">
        <v>21</v>
      </c>
      <c r="B23" s="2" t="inlineStr">
        <is>
          <t>8A2402</t>
        </is>
      </c>
      <c r="C23" s="3" t="inlineStr">
        <is>
          <t>MS-NEW</t>
        </is>
      </c>
      <c r="D23" s="2" t="inlineStr">
        <is>
          <t>500720</t>
        </is>
      </c>
      <c r="E23" s="2" t="inlineStr">
        <is>
          <t>GST 5 %</t>
        </is>
      </c>
      <c r="F23" s="2" t="inlineStr">
        <is>
          <t>Pc(s)</t>
        </is>
      </c>
      <c r="G23" s="4" t="n">
        <v>1</v>
      </c>
      <c r="H23" s="2" t="inlineStr"/>
      <c r="I23" s="5" t="n">
        <v>4600</v>
      </c>
      <c r="J23" s="5" t="n">
        <v>0</v>
      </c>
      <c r="K23" s="5" t="n">
        <v>0</v>
      </c>
      <c r="L23" s="5" t="n">
        <v>4600</v>
      </c>
      <c r="M23" s="5">
        <f>G23*L23</f>
        <v/>
      </c>
      <c r="N23" s="5" t="n">
        <v>0</v>
      </c>
      <c r="O23" s="5">
        <f>M23*0.025</f>
        <v/>
      </c>
      <c r="P23" s="5">
        <f>M23*0.025</f>
        <v/>
      </c>
      <c r="Q23" s="5">
        <f>M23+O23+P23</f>
        <v/>
      </c>
      <c r="R23" s="5" t="n">
        <v>7890</v>
      </c>
      <c r="S23" s="5" t="n">
        <v>5290</v>
      </c>
      <c r="T23" s="5" t="n">
        <v>5980</v>
      </c>
      <c r="U23" s="2" t="inlineStr"/>
      <c r="V23" s="2" t="inlineStr"/>
    </row>
    <row r="24" ht="20" customHeight="1">
      <c r="A24" s="6" t="n">
        <v>22</v>
      </c>
      <c r="B24" s="6" t="inlineStr">
        <is>
          <t>8A2403</t>
        </is>
      </c>
      <c r="C24" s="7" t="inlineStr">
        <is>
          <t>MS-NEW</t>
        </is>
      </c>
      <c r="D24" s="6" t="inlineStr">
        <is>
          <t>500720</t>
        </is>
      </c>
      <c r="E24" s="6" t="inlineStr">
        <is>
          <t>GST 5 %</t>
        </is>
      </c>
      <c r="F24" s="6" t="inlineStr">
        <is>
          <t>Pc(s)</t>
        </is>
      </c>
      <c r="G24" s="8" t="n">
        <v>1</v>
      </c>
      <c r="H24" s="6" t="inlineStr"/>
      <c r="I24" s="9" t="n">
        <v>4600</v>
      </c>
      <c r="J24" s="9" t="n">
        <v>0</v>
      </c>
      <c r="K24" s="9" t="n">
        <v>0</v>
      </c>
      <c r="L24" s="9" t="n">
        <v>4600</v>
      </c>
      <c r="M24" s="9">
        <f>G24*L24</f>
        <v/>
      </c>
      <c r="N24" s="9" t="n">
        <v>0</v>
      </c>
      <c r="O24" s="9">
        <f>M24*0.025</f>
        <v/>
      </c>
      <c r="P24" s="9">
        <f>M24*0.025</f>
        <v/>
      </c>
      <c r="Q24" s="9">
        <f>M24+O24+P24</f>
        <v/>
      </c>
      <c r="R24" s="9" t="n">
        <v>7890</v>
      </c>
      <c r="S24" s="9" t="n">
        <v>5290</v>
      </c>
      <c r="T24" s="9" t="n">
        <v>5980</v>
      </c>
      <c r="U24" s="6" t="inlineStr"/>
      <c r="V24" s="6" t="inlineStr"/>
    </row>
    <row r="25" ht="24" customHeight="1">
      <c r="A25" s="2" t="n">
        <v>23</v>
      </c>
      <c r="B25" s="2" t="inlineStr">
        <is>
          <t>8A2404</t>
        </is>
      </c>
      <c r="C25" s="3" t="inlineStr">
        <is>
          <t>MS-NEW</t>
        </is>
      </c>
      <c r="D25" s="2" t="inlineStr">
        <is>
          <t>500720</t>
        </is>
      </c>
      <c r="E25" s="2" t="inlineStr">
        <is>
          <t>GST 5 %</t>
        </is>
      </c>
      <c r="F25" s="2" t="inlineStr">
        <is>
          <t>Pc(s)</t>
        </is>
      </c>
      <c r="G25" s="4" t="n">
        <v>1</v>
      </c>
      <c r="H25" s="2" t="inlineStr"/>
      <c r="I25" s="5" t="n">
        <v>4600</v>
      </c>
      <c r="J25" s="5" t="n">
        <v>0</v>
      </c>
      <c r="K25" s="5" t="n">
        <v>0</v>
      </c>
      <c r="L25" s="5" t="n">
        <v>4600</v>
      </c>
      <c r="M25" s="5">
        <f>G25*L25</f>
        <v/>
      </c>
      <c r="N25" s="5" t="n">
        <v>0</v>
      </c>
      <c r="O25" s="5">
        <f>M25*0.025</f>
        <v/>
      </c>
      <c r="P25" s="5">
        <f>M25*0.025</f>
        <v/>
      </c>
      <c r="Q25" s="5">
        <f>M25+O25+P25</f>
        <v/>
      </c>
      <c r="R25" s="5" t="n">
        <v>7890</v>
      </c>
      <c r="S25" s="5" t="n">
        <v>5290</v>
      </c>
      <c r="T25" s="5" t="n">
        <v>5980</v>
      </c>
      <c r="U25" s="2" t="inlineStr"/>
      <c r="V25" s="2" t="inlineStr"/>
    </row>
    <row r="26">
      <c r="A26" s="10" t="inlineStr">
        <is>
          <t>Total</t>
        </is>
      </c>
      <c r="B26" s="17" t="n"/>
      <c r="C26" s="17" t="n"/>
      <c r="D26" s="17" t="n"/>
      <c r="E26" s="17" t="n"/>
      <c r="F26" s="18" t="n"/>
      <c r="G26" s="11">
        <f>SUM(G3:G25)</f>
        <v/>
      </c>
      <c r="H26" s="12">
        <f>SUM(H3:H25)</f>
        <v/>
      </c>
      <c r="I26" s="11">
        <f>SUM(I3:I25)</f>
        <v/>
      </c>
      <c r="J26" s="11">
        <f>SUM(J3:J25)</f>
        <v/>
      </c>
      <c r="K26" s="11">
        <f>SUM(K3:K25)</f>
        <v/>
      </c>
      <c r="L26" s="11">
        <f>SUM(L3:L25)</f>
        <v/>
      </c>
      <c r="M26" s="11">
        <f>SUM(M3:M25)</f>
        <v/>
      </c>
      <c r="N26" s="11">
        <f>SUM(N3:N25)</f>
        <v/>
      </c>
      <c r="O26" s="11">
        <f>SUM(O3:O25)</f>
        <v/>
      </c>
      <c r="P26" s="11">
        <f>SUM(P3:P25)</f>
        <v/>
      </c>
      <c r="Q26" s="11">
        <f>SUM(Q3:Q25)</f>
        <v/>
      </c>
      <c r="R26" s="11">
        <f>SUM(R3:R25)</f>
        <v/>
      </c>
      <c r="S26" s="11">
        <f>SUM(S3:S25)</f>
        <v/>
      </c>
      <c r="T26" s="11">
        <f>SUM(T3:T25)</f>
        <v/>
      </c>
      <c r="U26" s="11" t="n"/>
      <c r="V26" s="11" t="n"/>
    </row>
    <row r="29">
      <c r="A29" s="19" t="inlineStr">
        <is>
          <t>ITEM SUMMARY</t>
        </is>
      </c>
    </row>
    <row r="31">
      <c r="A31" s="20" t="inlineStr">
        <is>
          <t>Sl No</t>
        </is>
      </c>
      <c r="B31" s="20" t="inlineStr">
        <is>
          <t>Bill Sl No.</t>
        </is>
      </c>
      <c r="C31" s="20" t="inlineStr">
        <is>
          <t>Item Name</t>
        </is>
      </c>
      <c r="D31" s="20" t="inlineStr">
        <is>
          <t>QTY</t>
        </is>
      </c>
      <c r="E31" s="20" t="inlineStr">
        <is>
          <t>Before GST Amount</t>
        </is>
      </c>
      <c r="F31" s="20" t="inlineStr">
        <is>
          <t>GST Amount</t>
        </is>
      </c>
      <c r="G31" s="20" t="inlineStr">
        <is>
          <t>Net Amount</t>
        </is>
      </c>
    </row>
    <row r="32">
      <c r="A32" s="21" t="n">
        <v>1</v>
      </c>
      <c r="B32" s="21" t="n">
        <v>1</v>
      </c>
      <c r="C32" s="21" t="inlineStr">
        <is>
          <t>MS-NEW</t>
        </is>
      </c>
      <c r="D32" s="22" t="n">
        <v>9</v>
      </c>
      <c r="E32" s="22" t="n">
        <v>37260</v>
      </c>
      <c r="F32" s="22" t="n">
        <v>1863</v>
      </c>
      <c r="G32" s="22" t="n">
        <v>39123</v>
      </c>
    </row>
    <row r="33">
      <c r="A33" s="21" t="n">
        <v>2</v>
      </c>
      <c r="B33" s="21" t="n">
        <v>2</v>
      </c>
      <c r="C33" s="21" t="inlineStr">
        <is>
          <t>MS-NEW</t>
        </is>
      </c>
      <c r="D33" s="22" t="n">
        <v>6</v>
      </c>
      <c r="E33" s="22" t="n">
        <v>26220</v>
      </c>
      <c r="F33" s="22" t="n">
        <v>1311</v>
      </c>
      <c r="G33" s="22" t="n">
        <v>27531</v>
      </c>
    </row>
    <row r="34">
      <c r="A34" s="21" t="n">
        <v>3</v>
      </c>
      <c r="B34" s="21" t="n">
        <v>3</v>
      </c>
      <c r="C34" s="21" t="inlineStr">
        <is>
          <t>MS-NEW</t>
        </is>
      </c>
      <c r="D34" s="22" t="n">
        <v>8</v>
      </c>
      <c r="E34" s="22" t="n">
        <v>36800</v>
      </c>
      <c r="F34" s="22" t="n">
        <v>1840</v>
      </c>
      <c r="G34" s="22" t="n">
        <v>38640</v>
      </c>
    </row>
    <row r="35">
      <c r="A35" s="23" t="n"/>
      <c r="B35" s="23" t="n"/>
      <c r="C35" s="24" t="inlineStr">
        <is>
          <t>Total</t>
        </is>
      </c>
      <c r="D35" s="25" t="n">
        <v>23</v>
      </c>
      <c r="E35" s="25" t="n">
        <v>100280</v>
      </c>
      <c r="F35" s="25" t="n">
        <v>5014</v>
      </c>
      <c r="G35" s="25" t="n">
        <v>105294</v>
      </c>
    </row>
  </sheetData>
  <mergeCells count="18">
    <mergeCell ref="U1:U2"/>
    <mergeCell ref="T1:T2"/>
    <mergeCell ref="I1:I2"/>
    <mergeCell ref="M1:M2"/>
    <mergeCell ref="P1:P2"/>
    <mergeCell ref="Q1:Q2"/>
    <mergeCell ref="O1:O2"/>
    <mergeCell ref="J1:K1"/>
    <mergeCell ref="G1:G2"/>
    <mergeCell ref="V1:V2"/>
    <mergeCell ref="B1:F1"/>
    <mergeCell ref="A26:F26"/>
    <mergeCell ref="L1:L2"/>
    <mergeCell ref="A1:A2"/>
    <mergeCell ref="H1:H2"/>
    <mergeCell ref="N1:N2"/>
    <mergeCell ref="S1:S2"/>
    <mergeCell ref="R1:R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2026-09-07T07:04:01Z</dcterms:created>
  <dcterms:modified xmlns:dcterms="http://purl.org/dc/terms/" xmlns:xsi="http://www.w3.org/2001/XMLSchema-instance" xsi:type="dcterms:W3CDTF">2026-09-12T04:37:54Z</dcterms:modified>
</cp:coreProperties>
</file>