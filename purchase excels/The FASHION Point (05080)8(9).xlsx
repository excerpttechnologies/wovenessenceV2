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temized Report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7" i="1" l="1"/>
  <c r="D46" i="1"/>
  <c r="C46" i="1"/>
  <c r="D45" i="1"/>
  <c r="C45" i="1"/>
  <c r="D44" i="1"/>
  <c r="C44" i="1"/>
  <c r="D43" i="1"/>
  <c r="C43" i="1"/>
  <c r="D42" i="1"/>
  <c r="C42" i="1"/>
  <c r="E41" i="1"/>
  <c r="D41" i="1"/>
  <c r="C41" i="1"/>
  <c r="D40" i="1"/>
  <c r="C40" i="1"/>
  <c r="D39" i="1"/>
  <c r="C39" i="1"/>
  <c r="G35" i="1"/>
  <c r="M34" i="1"/>
  <c r="N34" i="1" s="1"/>
  <c r="Q34" i="1" s="1"/>
  <c r="M33" i="1"/>
  <c r="N33" i="1" s="1"/>
  <c r="Q33" i="1" s="1"/>
  <c r="N32" i="1"/>
  <c r="Q32" i="1" s="1"/>
  <c r="M32" i="1"/>
  <c r="M31" i="1"/>
  <c r="M30" i="1"/>
  <c r="Q29" i="1"/>
  <c r="N29" i="1"/>
  <c r="M29" i="1"/>
  <c r="N28" i="1"/>
  <c r="Q28" i="1" s="1"/>
  <c r="M28" i="1"/>
  <c r="M27" i="1"/>
  <c r="M26" i="1"/>
  <c r="N26" i="1" s="1"/>
  <c r="Q26" i="1" s="1"/>
  <c r="M25" i="1"/>
  <c r="N25" i="1" s="1"/>
  <c r="Q25" i="1" s="1"/>
  <c r="N24" i="1"/>
  <c r="Q24" i="1" s="1"/>
  <c r="M24" i="1"/>
  <c r="M23" i="1"/>
  <c r="M22" i="1"/>
  <c r="E45" i="1" s="1"/>
  <c r="Q21" i="1"/>
  <c r="N21" i="1"/>
  <c r="M21" i="1"/>
  <c r="N20" i="1"/>
  <c r="Q20" i="1" s="1"/>
  <c r="M20" i="1"/>
  <c r="M19" i="1"/>
  <c r="M18" i="1"/>
  <c r="N18" i="1" s="1"/>
  <c r="Q18" i="1" s="1"/>
  <c r="M17" i="1"/>
  <c r="N17" i="1" s="1"/>
  <c r="Q17" i="1" s="1"/>
  <c r="N16" i="1"/>
  <c r="Q16" i="1" s="1"/>
  <c r="M16" i="1"/>
  <c r="M15" i="1"/>
  <c r="M14" i="1"/>
  <c r="E44" i="1" s="1"/>
  <c r="Q13" i="1"/>
  <c r="N13" i="1"/>
  <c r="M13" i="1"/>
  <c r="N12" i="1"/>
  <c r="Q12" i="1" s="1"/>
  <c r="M12" i="1"/>
  <c r="M11" i="1"/>
  <c r="E43" i="1" s="1"/>
  <c r="M10" i="1"/>
  <c r="N10" i="1" s="1"/>
  <c r="Q10" i="1" s="1"/>
  <c r="M9" i="1"/>
  <c r="N9" i="1" s="1"/>
  <c r="Q9" i="1" s="1"/>
  <c r="N8" i="1"/>
  <c r="Q8" i="1" s="1"/>
  <c r="M8" i="1"/>
  <c r="M7" i="1"/>
  <c r="M6" i="1"/>
  <c r="Q5" i="1"/>
  <c r="N5" i="1"/>
  <c r="M5" i="1"/>
  <c r="E40" i="1" s="1"/>
  <c r="N4" i="1"/>
  <c r="Q4" i="1" s="1"/>
  <c r="M4" i="1"/>
  <c r="M3" i="1"/>
  <c r="E39" i="1" s="1"/>
  <c r="F43" i="1" l="1"/>
  <c r="G43" i="1" s="1"/>
  <c r="Q27" i="1"/>
  <c r="F40" i="1"/>
  <c r="G40" i="1" s="1"/>
  <c r="F45" i="1"/>
  <c r="G45" i="1" s="1"/>
  <c r="Q7" i="1"/>
  <c r="Q23" i="1"/>
  <c r="F39" i="1"/>
  <c r="G39" i="1" s="1"/>
  <c r="F44" i="1"/>
  <c r="G44" i="1" s="1"/>
  <c r="Q30" i="1"/>
  <c r="N11" i="1"/>
  <c r="N19" i="1"/>
  <c r="Q19" i="1" s="1"/>
  <c r="N27" i="1"/>
  <c r="M35" i="1"/>
  <c r="F41" i="1"/>
  <c r="G41" i="1" s="1"/>
  <c r="Q3" i="1"/>
  <c r="N6" i="1"/>
  <c r="Q6" i="1" s="1"/>
  <c r="Q11" i="1"/>
  <c r="N14" i="1"/>
  <c r="N22" i="1"/>
  <c r="N30" i="1"/>
  <c r="N3" i="1"/>
  <c r="E46" i="1"/>
  <c r="Q14" i="1"/>
  <c r="Q22" i="1"/>
  <c r="N15" i="1"/>
  <c r="Q15" i="1" s="1"/>
  <c r="N23" i="1"/>
  <c r="N31" i="1"/>
  <c r="Q31" i="1" s="1"/>
  <c r="E42" i="1"/>
  <c r="N7" i="1"/>
  <c r="Q35" i="1" l="1"/>
  <c r="F46" i="1"/>
  <c r="G46" i="1" s="1"/>
  <c r="N35" i="1"/>
  <c r="E47" i="1"/>
  <c r="F42" i="1"/>
  <c r="G42" i="1" s="1"/>
  <c r="G47" i="1" s="1"/>
  <c r="F47" i="1" l="1"/>
</calcChain>
</file>

<file path=xl/sharedStrings.xml><?xml version="1.0" encoding="utf-8"?>
<sst xmlns="http://schemas.openxmlformats.org/spreadsheetml/2006/main" count="165" uniqueCount="69">
  <si>
    <t>Sl No</t>
  </si>
  <si>
    <t>Item</t>
  </si>
  <si>
    <t>Quantity</t>
  </si>
  <si>
    <t>Rate</t>
  </si>
  <si>
    <t>Amount</t>
  </si>
  <si>
    <t>Selling Price</t>
  </si>
  <si>
    <t>Variant</t>
  </si>
  <si>
    <t>Action</t>
  </si>
  <si>
    <t>Code</t>
  </si>
  <si>
    <t>Name</t>
  </si>
  <si>
    <t>HSN</t>
  </si>
  <si>
    <t>GST Slab</t>
  </si>
  <si>
    <t>UOM</t>
  </si>
  <si>
    <t>Qty/Mtr</t>
  </si>
  <si>
    <t>No. Of Cuts</t>
  </si>
  <si>
    <t>Purchase Rate</t>
  </si>
  <si>
    <t>Discount %</t>
  </si>
  <si>
    <t>Discount R.Off</t>
  </si>
  <si>
    <t>Final Rate</t>
  </si>
  <si>
    <t>Before Tax</t>
  </si>
  <si>
    <t>IGST</t>
  </si>
  <si>
    <t>CGST</t>
  </si>
  <si>
    <t>SGST</t>
  </si>
  <si>
    <t>Net Amount</t>
  </si>
  <si>
    <t>RSP</t>
  </si>
  <si>
    <t>WSP</t>
  </si>
  <si>
    <t>DP</t>
  </si>
  <si>
    <t>8A1884</t>
  </si>
  <si>
    <t>15-S-KL</t>
  </si>
  <si>
    <t>GST 5 %</t>
  </si>
  <si>
    <t>Pc(s)</t>
  </si>
  <si>
    <t>8A1885</t>
  </si>
  <si>
    <t>8A1886</t>
  </si>
  <si>
    <t>8A1887</t>
  </si>
  <si>
    <t>8A1888</t>
  </si>
  <si>
    <t>8A1889</t>
  </si>
  <si>
    <t>8A1890</t>
  </si>
  <si>
    <t>8A1891</t>
  </si>
  <si>
    <t>8A1892</t>
  </si>
  <si>
    <t>8A1893</t>
  </si>
  <si>
    <t>8A1894</t>
  </si>
  <si>
    <t>8A1895</t>
  </si>
  <si>
    <t>8A1896</t>
  </si>
  <si>
    <t>8A1897</t>
  </si>
  <si>
    <t>8A1898</t>
  </si>
  <si>
    <t>8A1899</t>
  </si>
  <si>
    <t>8A1900</t>
  </si>
  <si>
    <t>8A1901</t>
  </si>
  <si>
    <t>8A1902</t>
  </si>
  <si>
    <t>8A1903</t>
  </si>
  <si>
    <t>8A1904</t>
  </si>
  <si>
    <t>8A1905</t>
  </si>
  <si>
    <t>8A1906</t>
  </si>
  <si>
    <t>8A1907</t>
  </si>
  <si>
    <t>8A1908</t>
  </si>
  <si>
    <t>8A1909</t>
  </si>
  <si>
    <t>8A1910</t>
  </si>
  <si>
    <t>8A1911</t>
  </si>
  <si>
    <t>8A1912</t>
  </si>
  <si>
    <t>8A1913</t>
  </si>
  <si>
    <t>8A1914</t>
  </si>
  <si>
    <t>8A1915</t>
  </si>
  <si>
    <t>Total</t>
  </si>
  <si>
    <t>Item Summary</t>
  </si>
  <si>
    <t>Bill Sl No</t>
  </si>
  <si>
    <t>Item Name</t>
  </si>
  <si>
    <t>QTY</t>
  </si>
  <si>
    <t>Before GST Amount</t>
  </si>
  <si>
    <t>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</si>
</sst>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000000"/>
      <name val="Calibri"/>
      <charset val="1"/>
    </font>
    <font>
      <b/>
      <sz val="12"/>
      <color rgb="FF1F4E78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tabSelected="1" topLeftCell="A52" zoomScaleNormal="100" workbookViewId="0">
      <selection sqref="A1:A2"/>
    </sheetView>
  </sheetViews>
  <sheetFormatPr defaultColWidth="8.6640625" defaultRowHeight="14.4" x14ac:dyDescent="0.3"/>
  <cols>
    <col min="1" max="4" width="12" style="2" customWidth="1"/>
    <col min="5" max="5" width="18" style="2" customWidth="1"/>
    <col min="6" max="6" width="12" style="2" customWidth="1"/>
    <col min="7" max="7" width="14" style="2" customWidth="1"/>
    <col min="8" max="8" width="15" style="2" customWidth="1"/>
    <col min="9" max="9" width="17" style="2" customWidth="1"/>
    <col min="10" max="10" width="14" style="2" customWidth="1"/>
    <col min="11" max="11" width="18" style="2" customWidth="1"/>
    <col min="12" max="14" width="14" style="2" customWidth="1"/>
    <col min="15" max="16" width="12" style="2" customWidth="1"/>
    <col min="17" max="17" width="14" style="2" customWidth="1"/>
    <col min="18" max="22" width="12" style="2" customWidth="1"/>
  </cols>
  <sheetData>
    <row r="1" spans="1:22" ht="24.7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 t="s">
        <v>3</v>
      </c>
      <c r="J1" s="1"/>
      <c r="K1" s="1"/>
      <c r="L1" s="1"/>
      <c r="M1" s="1" t="s">
        <v>4</v>
      </c>
      <c r="N1" s="1"/>
      <c r="O1" s="1"/>
      <c r="P1" s="1"/>
      <c r="Q1" s="1"/>
      <c r="R1" s="1" t="s">
        <v>5</v>
      </c>
      <c r="S1" s="1"/>
      <c r="T1" s="1"/>
      <c r="U1" s="1" t="s">
        <v>6</v>
      </c>
      <c r="V1" s="1" t="s">
        <v>7</v>
      </c>
    </row>
    <row r="2" spans="1:22" ht="24.75" customHeight="1" x14ac:dyDescent="0.3">
      <c r="A2" s="1"/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1"/>
      <c r="V2" s="1"/>
    </row>
    <row r="3" spans="1:22" ht="19.5" customHeight="1" x14ac:dyDescent="0.3">
      <c r="A3" s="4">
        <v>1</v>
      </c>
      <c r="B3" s="4" t="s">
        <v>27</v>
      </c>
      <c r="C3" s="4" t="s">
        <v>28</v>
      </c>
      <c r="D3" s="4">
        <v>520841</v>
      </c>
      <c r="E3" s="4" t="s">
        <v>29</v>
      </c>
      <c r="F3" s="4" t="s">
        <v>30</v>
      </c>
      <c r="G3" s="5">
        <v>1</v>
      </c>
      <c r="H3" s="5"/>
      <c r="I3" s="5">
        <v>310</v>
      </c>
      <c r="J3" s="5">
        <v>0</v>
      </c>
      <c r="K3" s="5">
        <v>0</v>
      </c>
      <c r="L3" s="5">
        <v>310</v>
      </c>
      <c r="M3" s="5">
        <f t="shared" ref="M3:M34" si="0">G3*L3</f>
        <v>310</v>
      </c>
      <c r="N3" s="5">
        <f t="shared" ref="N3:N34" si="1">M3*0.05</f>
        <v>15.5</v>
      </c>
      <c r="O3" s="5">
        <v>0</v>
      </c>
      <c r="P3" s="5">
        <v>0</v>
      </c>
      <c r="Q3" s="5">
        <f t="shared" ref="Q3:Q34" si="2">M3+N3+O3+P3</f>
        <v>325.5</v>
      </c>
      <c r="R3" s="5">
        <v>690</v>
      </c>
      <c r="S3" s="5">
        <v>356.5</v>
      </c>
      <c r="T3" s="5">
        <v>403</v>
      </c>
      <c r="U3" s="4"/>
      <c r="V3" s="4"/>
    </row>
    <row r="4" spans="1:22" ht="19.5" customHeight="1" x14ac:dyDescent="0.3">
      <c r="A4" s="4">
        <v>2</v>
      </c>
      <c r="B4" s="4" t="s">
        <v>31</v>
      </c>
      <c r="C4" s="4" t="s">
        <v>28</v>
      </c>
      <c r="D4" s="4">
        <v>520841</v>
      </c>
      <c r="E4" s="4" t="s">
        <v>29</v>
      </c>
      <c r="F4" s="4" t="s">
        <v>30</v>
      </c>
      <c r="G4" s="5">
        <v>1</v>
      </c>
      <c r="H4" s="5"/>
      <c r="I4" s="5">
        <v>310</v>
      </c>
      <c r="J4" s="5">
        <v>0</v>
      </c>
      <c r="K4" s="5">
        <v>0</v>
      </c>
      <c r="L4" s="5">
        <v>310</v>
      </c>
      <c r="M4" s="5">
        <f t="shared" si="0"/>
        <v>310</v>
      </c>
      <c r="N4" s="5">
        <f t="shared" si="1"/>
        <v>15.5</v>
      </c>
      <c r="O4" s="5">
        <v>0</v>
      </c>
      <c r="P4" s="5">
        <v>0</v>
      </c>
      <c r="Q4" s="5">
        <f t="shared" si="2"/>
        <v>325.5</v>
      </c>
      <c r="R4" s="5">
        <v>690</v>
      </c>
      <c r="S4" s="5">
        <v>356.5</v>
      </c>
      <c r="T4" s="5">
        <v>403</v>
      </c>
      <c r="U4" s="4"/>
      <c r="V4" s="4"/>
    </row>
    <row r="5" spans="1:22" ht="19.5" customHeight="1" x14ac:dyDescent="0.3">
      <c r="A5" s="4">
        <v>3</v>
      </c>
      <c r="B5" s="4" t="s">
        <v>32</v>
      </c>
      <c r="C5" s="4" t="s">
        <v>28</v>
      </c>
      <c r="D5" s="4">
        <v>520841</v>
      </c>
      <c r="E5" s="4" t="s">
        <v>29</v>
      </c>
      <c r="F5" s="4" t="s">
        <v>30</v>
      </c>
      <c r="G5" s="5">
        <v>1</v>
      </c>
      <c r="H5" s="5"/>
      <c r="I5" s="5">
        <v>320</v>
      </c>
      <c r="J5" s="5">
        <v>0</v>
      </c>
      <c r="K5" s="5">
        <v>0</v>
      </c>
      <c r="L5" s="5">
        <v>320</v>
      </c>
      <c r="M5" s="5">
        <f t="shared" si="0"/>
        <v>320</v>
      </c>
      <c r="N5" s="5">
        <f t="shared" si="1"/>
        <v>16</v>
      </c>
      <c r="O5" s="5">
        <v>0</v>
      </c>
      <c r="P5" s="5">
        <v>0</v>
      </c>
      <c r="Q5" s="5">
        <f t="shared" si="2"/>
        <v>336</v>
      </c>
      <c r="R5" s="5">
        <v>730</v>
      </c>
      <c r="S5" s="5">
        <v>368</v>
      </c>
      <c r="T5" s="5">
        <v>416</v>
      </c>
      <c r="U5" s="4"/>
      <c r="V5" s="4"/>
    </row>
    <row r="6" spans="1:22" ht="19.5" customHeight="1" x14ac:dyDescent="0.3">
      <c r="A6" s="4">
        <v>4</v>
      </c>
      <c r="B6" s="4" t="s">
        <v>33</v>
      </c>
      <c r="C6" s="4" t="s">
        <v>28</v>
      </c>
      <c r="D6" s="4">
        <v>520841</v>
      </c>
      <c r="E6" s="4" t="s">
        <v>29</v>
      </c>
      <c r="F6" s="4" t="s">
        <v>30</v>
      </c>
      <c r="G6" s="5">
        <v>1</v>
      </c>
      <c r="H6" s="5"/>
      <c r="I6" s="5">
        <v>320</v>
      </c>
      <c r="J6" s="5">
        <v>0</v>
      </c>
      <c r="K6" s="5">
        <v>0</v>
      </c>
      <c r="L6" s="5">
        <v>320</v>
      </c>
      <c r="M6" s="5">
        <f t="shared" si="0"/>
        <v>320</v>
      </c>
      <c r="N6" s="5">
        <f t="shared" si="1"/>
        <v>16</v>
      </c>
      <c r="O6" s="5">
        <v>0</v>
      </c>
      <c r="P6" s="5">
        <v>0</v>
      </c>
      <c r="Q6" s="5">
        <f t="shared" si="2"/>
        <v>336</v>
      </c>
      <c r="R6" s="5">
        <v>730</v>
      </c>
      <c r="S6" s="5">
        <v>368</v>
      </c>
      <c r="T6" s="5">
        <v>416</v>
      </c>
      <c r="U6" s="4"/>
      <c r="V6" s="4"/>
    </row>
    <row r="7" spans="1:22" ht="19.5" customHeight="1" x14ac:dyDescent="0.3">
      <c r="A7" s="4">
        <v>5</v>
      </c>
      <c r="B7" s="4" t="s">
        <v>34</v>
      </c>
      <c r="C7" s="4" t="s">
        <v>28</v>
      </c>
      <c r="D7" s="4">
        <v>520841</v>
      </c>
      <c r="E7" s="4" t="s">
        <v>29</v>
      </c>
      <c r="F7" s="4" t="s">
        <v>30</v>
      </c>
      <c r="G7" s="5">
        <v>1</v>
      </c>
      <c r="H7" s="5"/>
      <c r="I7" s="5">
        <v>375</v>
      </c>
      <c r="J7" s="5">
        <v>0</v>
      </c>
      <c r="K7" s="5">
        <v>0</v>
      </c>
      <c r="L7" s="5">
        <v>375</v>
      </c>
      <c r="M7" s="5">
        <f t="shared" si="0"/>
        <v>375</v>
      </c>
      <c r="N7" s="5">
        <f t="shared" si="1"/>
        <v>18.75</v>
      </c>
      <c r="O7" s="5">
        <v>0</v>
      </c>
      <c r="P7" s="5">
        <v>0</v>
      </c>
      <c r="Q7" s="5">
        <f t="shared" si="2"/>
        <v>393.75</v>
      </c>
      <c r="R7" s="5">
        <v>760</v>
      </c>
      <c r="S7" s="5">
        <v>431.25</v>
      </c>
      <c r="T7" s="5">
        <v>487.5</v>
      </c>
      <c r="U7" s="4"/>
      <c r="V7" s="4"/>
    </row>
    <row r="8" spans="1:22" ht="19.5" customHeight="1" x14ac:dyDescent="0.3">
      <c r="A8" s="4">
        <v>6</v>
      </c>
      <c r="B8" s="4" t="s">
        <v>35</v>
      </c>
      <c r="C8" s="4" t="s">
        <v>28</v>
      </c>
      <c r="D8" s="4">
        <v>520841</v>
      </c>
      <c r="E8" s="4" t="s">
        <v>29</v>
      </c>
      <c r="F8" s="4" t="s">
        <v>30</v>
      </c>
      <c r="G8" s="5">
        <v>1</v>
      </c>
      <c r="H8" s="5"/>
      <c r="I8" s="5">
        <v>375</v>
      </c>
      <c r="J8" s="5">
        <v>0</v>
      </c>
      <c r="K8" s="5">
        <v>0</v>
      </c>
      <c r="L8" s="5">
        <v>375</v>
      </c>
      <c r="M8" s="5">
        <f t="shared" si="0"/>
        <v>375</v>
      </c>
      <c r="N8" s="5">
        <f t="shared" si="1"/>
        <v>18.75</v>
      </c>
      <c r="O8" s="5">
        <v>0</v>
      </c>
      <c r="P8" s="5">
        <v>0</v>
      </c>
      <c r="Q8" s="5">
        <f t="shared" si="2"/>
        <v>393.75</v>
      </c>
      <c r="R8" s="5">
        <v>760</v>
      </c>
      <c r="S8" s="5">
        <v>431.25</v>
      </c>
      <c r="T8" s="5">
        <v>487.5</v>
      </c>
      <c r="U8" s="4"/>
      <c r="V8" s="4"/>
    </row>
    <row r="9" spans="1:22" ht="19.5" customHeight="1" x14ac:dyDescent="0.3">
      <c r="A9" s="4">
        <v>7</v>
      </c>
      <c r="B9" s="4" t="s">
        <v>36</v>
      </c>
      <c r="C9" s="4" t="s">
        <v>28</v>
      </c>
      <c r="D9" s="4">
        <v>520841</v>
      </c>
      <c r="E9" s="4" t="s">
        <v>29</v>
      </c>
      <c r="F9" s="4" t="s">
        <v>30</v>
      </c>
      <c r="G9" s="5">
        <v>1</v>
      </c>
      <c r="H9" s="5"/>
      <c r="I9" s="5">
        <v>385</v>
      </c>
      <c r="J9" s="5">
        <v>0</v>
      </c>
      <c r="K9" s="5">
        <v>0</v>
      </c>
      <c r="L9" s="5">
        <v>385</v>
      </c>
      <c r="M9" s="5">
        <f t="shared" si="0"/>
        <v>385</v>
      </c>
      <c r="N9" s="5">
        <f t="shared" si="1"/>
        <v>19.25</v>
      </c>
      <c r="O9" s="5">
        <v>0</v>
      </c>
      <c r="P9" s="5">
        <v>0</v>
      </c>
      <c r="Q9" s="5">
        <f t="shared" si="2"/>
        <v>404.25</v>
      </c>
      <c r="R9" s="5">
        <v>790</v>
      </c>
      <c r="S9" s="5">
        <v>442.75</v>
      </c>
      <c r="T9" s="5">
        <v>500.5</v>
      </c>
      <c r="U9" s="4"/>
      <c r="V9" s="4"/>
    </row>
    <row r="10" spans="1:22" ht="19.5" customHeight="1" x14ac:dyDescent="0.3">
      <c r="A10" s="4">
        <v>8</v>
      </c>
      <c r="B10" s="4" t="s">
        <v>37</v>
      </c>
      <c r="C10" s="4" t="s">
        <v>28</v>
      </c>
      <c r="D10" s="4">
        <v>520841</v>
      </c>
      <c r="E10" s="4" t="s">
        <v>29</v>
      </c>
      <c r="F10" s="4" t="s">
        <v>30</v>
      </c>
      <c r="G10" s="5">
        <v>1</v>
      </c>
      <c r="H10" s="5"/>
      <c r="I10" s="5">
        <v>385</v>
      </c>
      <c r="J10" s="5">
        <v>0</v>
      </c>
      <c r="K10" s="5">
        <v>0</v>
      </c>
      <c r="L10" s="5">
        <v>385</v>
      </c>
      <c r="M10" s="5">
        <f t="shared" si="0"/>
        <v>385</v>
      </c>
      <c r="N10" s="5">
        <f t="shared" si="1"/>
        <v>19.25</v>
      </c>
      <c r="O10" s="5">
        <v>0</v>
      </c>
      <c r="P10" s="5">
        <v>0</v>
      </c>
      <c r="Q10" s="5">
        <f t="shared" si="2"/>
        <v>404.25</v>
      </c>
      <c r="R10" s="5">
        <v>790</v>
      </c>
      <c r="S10" s="5">
        <v>442.75</v>
      </c>
      <c r="T10" s="5">
        <v>500.5</v>
      </c>
      <c r="U10" s="4"/>
      <c r="V10" s="4"/>
    </row>
    <row r="11" spans="1:22" ht="19.5" customHeight="1" x14ac:dyDescent="0.3">
      <c r="A11" s="4">
        <v>9</v>
      </c>
      <c r="B11" s="4" t="s">
        <v>38</v>
      </c>
      <c r="C11" s="4" t="s">
        <v>28</v>
      </c>
      <c r="D11" s="4">
        <v>520841</v>
      </c>
      <c r="E11" s="4" t="s">
        <v>29</v>
      </c>
      <c r="F11" s="4" t="s">
        <v>30</v>
      </c>
      <c r="G11" s="5">
        <v>1</v>
      </c>
      <c r="H11" s="5"/>
      <c r="I11" s="5">
        <v>400</v>
      </c>
      <c r="J11" s="5">
        <v>0</v>
      </c>
      <c r="K11" s="5">
        <v>0</v>
      </c>
      <c r="L11" s="5">
        <v>400</v>
      </c>
      <c r="M11" s="5">
        <f t="shared" si="0"/>
        <v>400</v>
      </c>
      <c r="N11" s="5">
        <f t="shared" si="1"/>
        <v>20</v>
      </c>
      <c r="O11" s="5">
        <v>0</v>
      </c>
      <c r="P11" s="5">
        <v>0</v>
      </c>
      <c r="Q11" s="5">
        <f t="shared" si="2"/>
        <v>420</v>
      </c>
      <c r="R11" s="5">
        <v>830</v>
      </c>
      <c r="S11" s="5">
        <v>460</v>
      </c>
      <c r="T11" s="5">
        <v>520</v>
      </c>
      <c r="U11" s="4"/>
      <c r="V11" s="4"/>
    </row>
    <row r="12" spans="1:22" ht="19.5" customHeight="1" x14ac:dyDescent="0.3">
      <c r="A12" s="4">
        <v>10</v>
      </c>
      <c r="B12" s="4" t="s">
        <v>39</v>
      </c>
      <c r="C12" s="4" t="s">
        <v>28</v>
      </c>
      <c r="D12" s="4">
        <v>520841</v>
      </c>
      <c r="E12" s="4" t="s">
        <v>29</v>
      </c>
      <c r="F12" s="4" t="s">
        <v>30</v>
      </c>
      <c r="G12" s="5">
        <v>1</v>
      </c>
      <c r="H12" s="5"/>
      <c r="I12" s="5">
        <v>400</v>
      </c>
      <c r="J12" s="5">
        <v>0</v>
      </c>
      <c r="K12" s="5">
        <v>0</v>
      </c>
      <c r="L12" s="5">
        <v>400</v>
      </c>
      <c r="M12" s="5">
        <f t="shared" si="0"/>
        <v>400</v>
      </c>
      <c r="N12" s="5">
        <f t="shared" si="1"/>
        <v>20</v>
      </c>
      <c r="O12" s="5">
        <v>0</v>
      </c>
      <c r="P12" s="5">
        <v>0</v>
      </c>
      <c r="Q12" s="5">
        <f t="shared" si="2"/>
        <v>420</v>
      </c>
      <c r="R12" s="5">
        <v>830</v>
      </c>
      <c r="S12" s="5">
        <v>460</v>
      </c>
      <c r="T12" s="5">
        <v>520</v>
      </c>
      <c r="U12" s="4"/>
      <c r="V12" s="4"/>
    </row>
    <row r="13" spans="1:22" ht="19.5" customHeight="1" x14ac:dyDescent="0.3">
      <c r="A13" s="4">
        <v>11</v>
      </c>
      <c r="B13" s="4" t="s">
        <v>40</v>
      </c>
      <c r="C13" s="4" t="s">
        <v>28</v>
      </c>
      <c r="D13" s="4">
        <v>520841</v>
      </c>
      <c r="E13" s="4" t="s">
        <v>29</v>
      </c>
      <c r="F13" s="4" t="s">
        <v>30</v>
      </c>
      <c r="G13" s="5">
        <v>1</v>
      </c>
      <c r="H13" s="5"/>
      <c r="I13" s="5">
        <v>640</v>
      </c>
      <c r="J13" s="5">
        <v>0</v>
      </c>
      <c r="K13" s="5">
        <v>0</v>
      </c>
      <c r="L13" s="5">
        <v>640</v>
      </c>
      <c r="M13" s="5">
        <f t="shared" si="0"/>
        <v>640</v>
      </c>
      <c r="N13" s="5">
        <f t="shared" si="1"/>
        <v>32</v>
      </c>
      <c r="O13" s="5">
        <v>0</v>
      </c>
      <c r="P13" s="5">
        <v>0</v>
      </c>
      <c r="Q13" s="5">
        <f t="shared" si="2"/>
        <v>672</v>
      </c>
      <c r="R13" s="5">
        <v>1600</v>
      </c>
      <c r="S13" s="5">
        <v>736</v>
      </c>
      <c r="T13" s="5">
        <v>832</v>
      </c>
      <c r="U13" s="4"/>
      <c r="V13" s="4"/>
    </row>
    <row r="14" spans="1:22" ht="19.5" customHeight="1" x14ac:dyDescent="0.3">
      <c r="A14" s="4">
        <v>12</v>
      </c>
      <c r="B14" s="4" t="s">
        <v>41</v>
      </c>
      <c r="C14" s="4" t="s">
        <v>28</v>
      </c>
      <c r="D14" s="4">
        <v>520841</v>
      </c>
      <c r="E14" s="4" t="s">
        <v>29</v>
      </c>
      <c r="F14" s="4" t="s">
        <v>30</v>
      </c>
      <c r="G14" s="5">
        <v>1</v>
      </c>
      <c r="H14" s="5"/>
      <c r="I14" s="5">
        <v>640</v>
      </c>
      <c r="J14" s="5">
        <v>0</v>
      </c>
      <c r="K14" s="5">
        <v>0</v>
      </c>
      <c r="L14" s="5">
        <v>640</v>
      </c>
      <c r="M14" s="5">
        <f t="shared" si="0"/>
        <v>640</v>
      </c>
      <c r="N14" s="5">
        <f t="shared" si="1"/>
        <v>32</v>
      </c>
      <c r="O14" s="5">
        <v>0</v>
      </c>
      <c r="P14" s="5">
        <v>0</v>
      </c>
      <c r="Q14" s="5">
        <f t="shared" si="2"/>
        <v>672</v>
      </c>
      <c r="R14" s="5">
        <v>1600</v>
      </c>
      <c r="S14" s="5">
        <v>736</v>
      </c>
      <c r="T14" s="5">
        <v>832</v>
      </c>
      <c r="U14" s="4"/>
      <c r="V14" s="4"/>
    </row>
    <row r="15" spans="1:22" ht="19.5" customHeight="1" x14ac:dyDescent="0.3">
      <c r="A15" s="4">
        <v>13</v>
      </c>
      <c r="B15" s="4" t="s">
        <v>42</v>
      </c>
      <c r="C15" s="4" t="s">
        <v>28</v>
      </c>
      <c r="D15" s="4">
        <v>520841</v>
      </c>
      <c r="E15" s="4" t="s">
        <v>29</v>
      </c>
      <c r="F15" s="4" t="s">
        <v>30</v>
      </c>
      <c r="G15" s="5">
        <v>1</v>
      </c>
      <c r="H15" s="5"/>
      <c r="I15" s="5">
        <v>640</v>
      </c>
      <c r="J15" s="5">
        <v>0</v>
      </c>
      <c r="K15" s="5">
        <v>0</v>
      </c>
      <c r="L15" s="5">
        <v>640</v>
      </c>
      <c r="M15" s="5">
        <f t="shared" si="0"/>
        <v>640</v>
      </c>
      <c r="N15" s="5">
        <f t="shared" si="1"/>
        <v>32</v>
      </c>
      <c r="O15" s="5">
        <v>0</v>
      </c>
      <c r="P15" s="5">
        <v>0</v>
      </c>
      <c r="Q15" s="5">
        <f t="shared" si="2"/>
        <v>672</v>
      </c>
      <c r="R15" s="5">
        <v>1600</v>
      </c>
      <c r="S15" s="5">
        <v>736</v>
      </c>
      <c r="T15" s="5">
        <v>832</v>
      </c>
      <c r="U15" s="4"/>
      <c r="V15" s="4"/>
    </row>
    <row r="16" spans="1:22" ht="19.5" customHeight="1" x14ac:dyDescent="0.3">
      <c r="A16" s="4">
        <v>14</v>
      </c>
      <c r="B16" s="4" t="s">
        <v>43</v>
      </c>
      <c r="C16" s="4" t="s">
        <v>28</v>
      </c>
      <c r="D16" s="4">
        <v>520841</v>
      </c>
      <c r="E16" s="4" t="s">
        <v>29</v>
      </c>
      <c r="F16" s="4" t="s">
        <v>30</v>
      </c>
      <c r="G16" s="5">
        <v>1</v>
      </c>
      <c r="H16" s="5"/>
      <c r="I16" s="5">
        <v>640</v>
      </c>
      <c r="J16" s="5">
        <v>0</v>
      </c>
      <c r="K16" s="5">
        <v>0</v>
      </c>
      <c r="L16" s="5">
        <v>640</v>
      </c>
      <c r="M16" s="5">
        <f t="shared" si="0"/>
        <v>640</v>
      </c>
      <c r="N16" s="5">
        <f t="shared" si="1"/>
        <v>32</v>
      </c>
      <c r="O16" s="5">
        <v>0</v>
      </c>
      <c r="P16" s="5">
        <v>0</v>
      </c>
      <c r="Q16" s="5">
        <f t="shared" si="2"/>
        <v>672</v>
      </c>
      <c r="R16" s="5">
        <v>1600</v>
      </c>
      <c r="S16" s="5">
        <v>736</v>
      </c>
      <c r="T16" s="5">
        <v>832</v>
      </c>
      <c r="U16" s="4"/>
      <c r="V16" s="4"/>
    </row>
    <row r="17" spans="1:22" ht="19.5" customHeight="1" x14ac:dyDescent="0.3">
      <c r="A17" s="4">
        <v>15</v>
      </c>
      <c r="B17" s="4" t="s">
        <v>44</v>
      </c>
      <c r="C17" s="4" t="s">
        <v>28</v>
      </c>
      <c r="D17" s="4">
        <v>520841</v>
      </c>
      <c r="E17" s="4" t="s">
        <v>29</v>
      </c>
      <c r="F17" s="4" t="s">
        <v>30</v>
      </c>
      <c r="G17" s="5">
        <v>1</v>
      </c>
      <c r="H17" s="5"/>
      <c r="I17" s="5">
        <v>640</v>
      </c>
      <c r="J17" s="5">
        <v>0</v>
      </c>
      <c r="K17" s="5">
        <v>0</v>
      </c>
      <c r="L17" s="5">
        <v>640</v>
      </c>
      <c r="M17" s="5">
        <f t="shared" si="0"/>
        <v>640</v>
      </c>
      <c r="N17" s="5">
        <f t="shared" si="1"/>
        <v>32</v>
      </c>
      <c r="O17" s="5">
        <v>0</v>
      </c>
      <c r="P17" s="5">
        <v>0</v>
      </c>
      <c r="Q17" s="5">
        <f t="shared" si="2"/>
        <v>672</v>
      </c>
      <c r="R17" s="5">
        <v>1600</v>
      </c>
      <c r="S17" s="5">
        <v>736</v>
      </c>
      <c r="T17" s="5">
        <v>832</v>
      </c>
      <c r="U17" s="4"/>
      <c r="V17" s="4"/>
    </row>
    <row r="18" spans="1:22" ht="19.5" customHeight="1" x14ac:dyDescent="0.3">
      <c r="A18" s="4">
        <v>16</v>
      </c>
      <c r="B18" s="4" t="s">
        <v>45</v>
      </c>
      <c r="C18" s="4" t="s">
        <v>28</v>
      </c>
      <c r="D18" s="4">
        <v>520841</v>
      </c>
      <c r="E18" s="4" t="s">
        <v>29</v>
      </c>
      <c r="F18" s="4" t="s">
        <v>30</v>
      </c>
      <c r="G18" s="5">
        <v>1</v>
      </c>
      <c r="H18" s="5"/>
      <c r="I18" s="5">
        <v>640</v>
      </c>
      <c r="J18" s="5">
        <v>0</v>
      </c>
      <c r="K18" s="5">
        <v>0</v>
      </c>
      <c r="L18" s="5">
        <v>640</v>
      </c>
      <c r="M18" s="5">
        <f t="shared" si="0"/>
        <v>640</v>
      </c>
      <c r="N18" s="5">
        <f t="shared" si="1"/>
        <v>32</v>
      </c>
      <c r="O18" s="5">
        <v>0</v>
      </c>
      <c r="P18" s="5">
        <v>0</v>
      </c>
      <c r="Q18" s="5">
        <f t="shared" si="2"/>
        <v>672</v>
      </c>
      <c r="R18" s="5">
        <v>1600</v>
      </c>
      <c r="S18" s="5">
        <v>736</v>
      </c>
      <c r="T18" s="5">
        <v>832</v>
      </c>
      <c r="U18" s="4"/>
      <c r="V18" s="4"/>
    </row>
    <row r="19" spans="1:22" ht="19.5" customHeight="1" x14ac:dyDescent="0.3">
      <c r="A19" s="4">
        <v>17</v>
      </c>
      <c r="B19" s="4" t="s">
        <v>46</v>
      </c>
      <c r="C19" s="4" t="s">
        <v>28</v>
      </c>
      <c r="D19" s="4">
        <v>520841</v>
      </c>
      <c r="E19" s="4" t="s">
        <v>29</v>
      </c>
      <c r="F19" s="4" t="s">
        <v>30</v>
      </c>
      <c r="G19" s="5">
        <v>1</v>
      </c>
      <c r="H19" s="5"/>
      <c r="I19" s="5">
        <v>640</v>
      </c>
      <c r="J19" s="5">
        <v>0</v>
      </c>
      <c r="K19" s="5">
        <v>0</v>
      </c>
      <c r="L19" s="5">
        <v>640</v>
      </c>
      <c r="M19" s="5">
        <f t="shared" si="0"/>
        <v>640</v>
      </c>
      <c r="N19" s="5">
        <f t="shared" si="1"/>
        <v>32</v>
      </c>
      <c r="O19" s="5">
        <v>0</v>
      </c>
      <c r="P19" s="5">
        <v>0</v>
      </c>
      <c r="Q19" s="5">
        <f t="shared" si="2"/>
        <v>672</v>
      </c>
      <c r="R19" s="5">
        <v>1600</v>
      </c>
      <c r="S19" s="5">
        <v>736</v>
      </c>
      <c r="T19" s="5">
        <v>832</v>
      </c>
      <c r="U19" s="4"/>
      <c r="V19" s="4"/>
    </row>
    <row r="20" spans="1:22" ht="19.5" customHeight="1" x14ac:dyDescent="0.3">
      <c r="A20" s="4">
        <v>18</v>
      </c>
      <c r="B20" s="4" t="s">
        <v>47</v>
      </c>
      <c r="C20" s="4" t="s">
        <v>28</v>
      </c>
      <c r="D20" s="4">
        <v>520841</v>
      </c>
      <c r="E20" s="4" t="s">
        <v>29</v>
      </c>
      <c r="F20" s="4" t="s">
        <v>30</v>
      </c>
      <c r="G20" s="5">
        <v>1</v>
      </c>
      <c r="H20" s="5"/>
      <c r="I20" s="5">
        <v>640</v>
      </c>
      <c r="J20" s="5">
        <v>0</v>
      </c>
      <c r="K20" s="5">
        <v>0</v>
      </c>
      <c r="L20" s="5">
        <v>640</v>
      </c>
      <c r="M20" s="5">
        <f t="shared" si="0"/>
        <v>640</v>
      </c>
      <c r="N20" s="5">
        <f t="shared" si="1"/>
        <v>32</v>
      </c>
      <c r="O20" s="5">
        <v>0</v>
      </c>
      <c r="P20" s="5">
        <v>0</v>
      </c>
      <c r="Q20" s="5">
        <f t="shared" si="2"/>
        <v>672</v>
      </c>
      <c r="R20" s="5">
        <v>1600</v>
      </c>
      <c r="S20" s="5">
        <v>736</v>
      </c>
      <c r="T20" s="5">
        <v>832</v>
      </c>
      <c r="U20" s="4"/>
      <c r="V20" s="4"/>
    </row>
    <row r="21" spans="1:22" ht="19.5" customHeight="1" x14ac:dyDescent="0.3">
      <c r="A21" s="4">
        <v>19</v>
      </c>
      <c r="B21" s="4" t="s">
        <v>48</v>
      </c>
      <c r="C21" s="4" t="s">
        <v>28</v>
      </c>
      <c r="D21" s="4">
        <v>520841</v>
      </c>
      <c r="E21" s="4" t="s">
        <v>29</v>
      </c>
      <c r="F21" s="4" t="s">
        <v>30</v>
      </c>
      <c r="G21" s="5">
        <v>1</v>
      </c>
      <c r="H21" s="5"/>
      <c r="I21" s="5">
        <v>670</v>
      </c>
      <c r="J21" s="5">
        <v>0</v>
      </c>
      <c r="K21" s="5">
        <v>0</v>
      </c>
      <c r="L21" s="5">
        <v>670</v>
      </c>
      <c r="M21" s="5">
        <f t="shared" si="0"/>
        <v>670</v>
      </c>
      <c r="N21" s="5">
        <f t="shared" si="1"/>
        <v>33.5</v>
      </c>
      <c r="O21" s="5">
        <v>0</v>
      </c>
      <c r="P21" s="5">
        <v>0</v>
      </c>
      <c r="Q21" s="5">
        <f t="shared" si="2"/>
        <v>703.5</v>
      </c>
      <c r="R21" s="5">
        <v>1300</v>
      </c>
      <c r="S21" s="5">
        <v>770.5</v>
      </c>
      <c r="T21" s="5">
        <v>871</v>
      </c>
      <c r="U21" s="4"/>
      <c r="V21" s="4"/>
    </row>
    <row r="22" spans="1:22" ht="19.5" customHeight="1" x14ac:dyDescent="0.3">
      <c r="A22" s="4">
        <v>20</v>
      </c>
      <c r="B22" s="4" t="s">
        <v>49</v>
      </c>
      <c r="C22" s="4" t="s">
        <v>28</v>
      </c>
      <c r="D22" s="4">
        <v>520841</v>
      </c>
      <c r="E22" s="4" t="s">
        <v>29</v>
      </c>
      <c r="F22" s="4" t="s">
        <v>30</v>
      </c>
      <c r="G22" s="5">
        <v>1</v>
      </c>
      <c r="H22" s="5"/>
      <c r="I22" s="5">
        <v>670</v>
      </c>
      <c r="J22" s="5">
        <v>0</v>
      </c>
      <c r="K22" s="5">
        <v>0</v>
      </c>
      <c r="L22" s="5">
        <v>670</v>
      </c>
      <c r="M22" s="5">
        <f t="shared" si="0"/>
        <v>670</v>
      </c>
      <c r="N22" s="5">
        <f t="shared" si="1"/>
        <v>33.5</v>
      </c>
      <c r="O22" s="5">
        <v>0</v>
      </c>
      <c r="P22" s="5">
        <v>0</v>
      </c>
      <c r="Q22" s="5">
        <f t="shared" si="2"/>
        <v>703.5</v>
      </c>
      <c r="R22" s="5">
        <v>1300</v>
      </c>
      <c r="S22" s="5">
        <v>770.5</v>
      </c>
      <c r="T22" s="5">
        <v>871</v>
      </c>
      <c r="U22" s="4"/>
      <c r="V22" s="4"/>
    </row>
    <row r="23" spans="1:22" ht="19.5" customHeight="1" x14ac:dyDescent="0.3">
      <c r="A23" s="4">
        <v>21</v>
      </c>
      <c r="B23" s="4" t="s">
        <v>50</v>
      </c>
      <c r="C23" s="4" t="s">
        <v>28</v>
      </c>
      <c r="D23" s="4">
        <v>520841</v>
      </c>
      <c r="E23" s="4" t="s">
        <v>29</v>
      </c>
      <c r="F23" s="4" t="s">
        <v>30</v>
      </c>
      <c r="G23" s="5">
        <v>1</v>
      </c>
      <c r="H23" s="5"/>
      <c r="I23" s="5">
        <v>670</v>
      </c>
      <c r="J23" s="5">
        <v>0</v>
      </c>
      <c r="K23" s="5">
        <v>0</v>
      </c>
      <c r="L23" s="5">
        <v>670</v>
      </c>
      <c r="M23" s="5">
        <f t="shared" si="0"/>
        <v>670</v>
      </c>
      <c r="N23" s="5">
        <f t="shared" si="1"/>
        <v>33.5</v>
      </c>
      <c r="O23" s="5">
        <v>0</v>
      </c>
      <c r="P23" s="5">
        <v>0</v>
      </c>
      <c r="Q23" s="5">
        <f t="shared" si="2"/>
        <v>703.5</v>
      </c>
      <c r="R23" s="5">
        <v>1300</v>
      </c>
      <c r="S23" s="5">
        <v>770.5</v>
      </c>
      <c r="T23" s="5">
        <v>871</v>
      </c>
      <c r="U23" s="4"/>
      <c r="V23" s="4"/>
    </row>
    <row r="24" spans="1:22" ht="19.5" customHeight="1" x14ac:dyDescent="0.3">
      <c r="A24" s="4">
        <v>22</v>
      </c>
      <c r="B24" s="4" t="s">
        <v>51</v>
      </c>
      <c r="C24" s="4" t="s">
        <v>28</v>
      </c>
      <c r="D24" s="4">
        <v>520841</v>
      </c>
      <c r="E24" s="4" t="s">
        <v>29</v>
      </c>
      <c r="F24" s="4" t="s">
        <v>30</v>
      </c>
      <c r="G24" s="5">
        <v>1</v>
      </c>
      <c r="H24" s="5"/>
      <c r="I24" s="5">
        <v>670</v>
      </c>
      <c r="J24" s="5">
        <v>0</v>
      </c>
      <c r="K24" s="5">
        <v>0</v>
      </c>
      <c r="L24" s="5">
        <v>670</v>
      </c>
      <c r="M24" s="5">
        <f t="shared" si="0"/>
        <v>670</v>
      </c>
      <c r="N24" s="5">
        <f t="shared" si="1"/>
        <v>33.5</v>
      </c>
      <c r="O24" s="5">
        <v>0</v>
      </c>
      <c r="P24" s="5">
        <v>0</v>
      </c>
      <c r="Q24" s="5">
        <f t="shared" si="2"/>
        <v>703.5</v>
      </c>
      <c r="R24" s="5">
        <v>1300</v>
      </c>
      <c r="S24" s="5">
        <v>770.5</v>
      </c>
      <c r="T24" s="5">
        <v>871</v>
      </c>
      <c r="U24" s="4"/>
      <c r="V24" s="4"/>
    </row>
    <row r="25" spans="1:22" ht="19.5" customHeight="1" x14ac:dyDescent="0.3">
      <c r="A25" s="4">
        <v>23</v>
      </c>
      <c r="B25" s="4" t="s">
        <v>52</v>
      </c>
      <c r="C25" s="4" t="s">
        <v>28</v>
      </c>
      <c r="D25" s="4">
        <v>520841</v>
      </c>
      <c r="E25" s="4" t="s">
        <v>29</v>
      </c>
      <c r="F25" s="4" t="s">
        <v>30</v>
      </c>
      <c r="G25" s="5">
        <v>1</v>
      </c>
      <c r="H25" s="5"/>
      <c r="I25" s="5">
        <v>670</v>
      </c>
      <c r="J25" s="5">
        <v>0</v>
      </c>
      <c r="K25" s="5">
        <v>0</v>
      </c>
      <c r="L25" s="5">
        <v>670</v>
      </c>
      <c r="M25" s="5">
        <f t="shared" si="0"/>
        <v>670</v>
      </c>
      <c r="N25" s="5">
        <f t="shared" si="1"/>
        <v>33.5</v>
      </c>
      <c r="O25" s="5">
        <v>0</v>
      </c>
      <c r="P25" s="5">
        <v>0</v>
      </c>
      <c r="Q25" s="5">
        <f t="shared" si="2"/>
        <v>703.5</v>
      </c>
      <c r="R25" s="5">
        <v>1300</v>
      </c>
      <c r="S25" s="5">
        <v>770.5</v>
      </c>
      <c r="T25" s="5">
        <v>871</v>
      </c>
      <c r="U25" s="4"/>
      <c r="V25" s="4"/>
    </row>
    <row r="26" spans="1:22" ht="19.5" customHeight="1" x14ac:dyDescent="0.3">
      <c r="A26" s="4">
        <v>24</v>
      </c>
      <c r="B26" s="4" t="s">
        <v>53</v>
      </c>
      <c r="C26" s="4" t="s">
        <v>28</v>
      </c>
      <c r="D26" s="4">
        <v>520841</v>
      </c>
      <c r="E26" s="4" t="s">
        <v>29</v>
      </c>
      <c r="F26" s="4" t="s">
        <v>30</v>
      </c>
      <c r="G26" s="5">
        <v>1</v>
      </c>
      <c r="H26" s="5"/>
      <c r="I26" s="5">
        <v>670</v>
      </c>
      <c r="J26" s="5">
        <v>0</v>
      </c>
      <c r="K26" s="5">
        <v>0</v>
      </c>
      <c r="L26" s="5">
        <v>670</v>
      </c>
      <c r="M26" s="5">
        <f t="shared" si="0"/>
        <v>670</v>
      </c>
      <c r="N26" s="5">
        <f t="shared" si="1"/>
        <v>33.5</v>
      </c>
      <c r="O26" s="5">
        <v>0</v>
      </c>
      <c r="P26" s="5">
        <v>0</v>
      </c>
      <c r="Q26" s="5">
        <f t="shared" si="2"/>
        <v>703.5</v>
      </c>
      <c r="R26" s="5">
        <v>1300</v>
      </c>
      <c r="S26" s="5">
        <v>770.5</v>
      </c>
      <c r="T26" s="5">
        <v>871</v>
      </c>
      <c r="U26" s="4"/>
      <c r="V26" s="4"/>
    </row>
    <row r="27" spans="1:22" ht="19.5" customHeight="1" x14ac:dyDescent="0.3">
      <c r="A27" s="4">
        <v>25</v>
      </c>
      <c r="B27" s="4" t="s">
        <v>54</v>
      </c>
      <c r="C27" s="4" t="s">
        <v>28</v>
      </c>
      <c r="D27" s="4">
        <v>520841</v>
      </c>
      <c r="E27" s="4" t="s">
        <v>29</v>
      </c>
      <c r="F27" s="4" t="s">
        <v>30</v>
      </c>
      <c r="G27" s="5">
        <v>1</v>
      </c>
      <c r="H27" s="5"/>
      <c r="I27" s="5">
        <v>670</v>
      </c>
      <c r="J27" s="5">
        <v>0</v>
      </c>
      <c r="K27" s="5">
        <v>0</v>
      </c>
      <c r="L27" s="5">
        <v>670</v>
      </c>
      <c r="M27" s="5">
        <f t="shared" si="0"/>
        <v>670</v>
      </c>
      <c r="N27" s="5">
        <f t="shared" si="1"/>
        <v>33.5</v>
      </c>
      <c r="O27" s="5">
        <v>0</v>
      </c>
      <c r="P27" s="5">
        <v>0</v>
      </c>
      <c r="Q27" s="5">
        <f t="shared" si="2"/>
        <v>703.5</v>
      </c>
      <c r="R27" s="5">
        <v>1300</v>
      </c>
      <c r="S27" s="5">
        <v>770.5</v>
      </c>
      <c r="T27" s="5">
        <v>871</v>
      </c>
      <c r="U27" s="4"/>
      <c r="V27" s="4"/>
    </row>
    <row r="28" spans="1:22" ht="19.5" customHeight="1" x14ac:dyDescent="0.3">
      <c r="A28" s="4">
        <v>26</v>
      </c>
      <c r="B28" s="4" t="s">
        <v>55</v>
      </c>
      <c r="C28" s="4" t="s">
        <v>28</v>
      </c>
      <c r="D28" s="4">
        <v>520841</v>
      </c>
      <c r="E28" s="4" t="s">
        <v>29</v>
      </c>
      <c r="F28" s="4" t="s">
        <v>30</v>
      </c>
      <c r="G28" s="5">
        <v>1</v>
      </c>
      <c r="H28" s="5"/>
      <c r="I28" s="5">
        <v>670</v>
      </c>
      <c r="J28" s="5">
        <v>0</v>
      </c>
      <c r="K28" s="5">
        <v>0</v>
      </c>
      <c r="L28" s="5">
        <v>670</v>
      </c>
      <c r="M28" s="5">
        <f t="shared" si="0"/>
        <v>670</v>
      </c>
      <c r="N28" s="5">
        <f t="shared" si="1"/>
        <v>33.5</v>
      </c>
      <c r="O28" s="5">
        <v>0</v>
      </c>
      <c r="P28" s="5">
        <v>0</v>
      </c>
      <c r="Q28" s="5">
        <f t="shared" si="2"/>
        <v>703.5</v>
      </c>
      <c r="R28" s="5">
        <v>1300</v>
      </c>
      <c r="S28" s="5">
        <v>770.5</v>
      </c>
      <c r="T28" s="5">
        <v>871</v>
      </c>
      <c r="U28" s="4"/>
      <c r="V28" s="4"/>
    </row>
    <row r="29" spans="1:22" ht="19.5" customHeight="1" x14ac:dyDescent="0.3">
      <c r="A29" s="4">
        <v>27</v>
      </c>
      <c r="B29" s="4" t="s">
        <v>56</v>
      </c>
      <c r="C29" s="4" t="s">
        <v>28</v>
      </c>
      <c r="D29" s="4">
        <v>520841</v>
      </c>
      <c r="E29" s="4" t="s">
        <v>29</v>
      </c>
      <c r="F29" s="4" t="s">
        <v>30</v>
      </c>
      <c r="G29" s="5">
        <v>1</v>
      </c>
      <c r="H29" s="5"/>
      <c r="I29" s="5">
        <v>610</v>
      </c>
      <c r="J29" s="5">
        <v>0</v>
      </c>
      <c r="K29" s="5">
        <v>0</v>
      </c>
      <c r="L29" s="5">
        <v>610</v>
      </c>
      <c r="M29" s="5">
        <f t="shared" si="0"/>
        <v>610</v>
      </c>
      <c r="N29" s="5">
        <f t="shared" si="1"/>
        <v>30.5</v>
      </c>
      <c r="O29" s="5">
        <v>0</v>
      </c>
      <c r="P29" s="5">
        <v>0</v>
      </c>
      <c r="Q29" s="5">
        <f t="shared" si="2"/>
        <v>640.5</v>
      </c>
      <c r="R29" s="5">
        <v>1290</v>
      </c>
      <c r="S29" s="5">
        <v>701.5</v>
      </c>
      <c r="T29" s="5">
        <v>793</v>
      </c>
      <c r="U29" s="4"/>
      <c r="V29" s="4"/>
    </row>
    <row r="30" spans="1:22" ht="19.5" customHeight="1" x14ac:dyDescent="0.3">
      <c r="A30" s="4">
        <v>28</v>
      </c>
      <c r="B30" s="4" t="s">
        <v>57</v>
      </c>
      <c r="C30" s="4" t="s">
        <v>28</v>
      </c>
      <c r="D30" s="4">
        <v>520841</v>
      </c>
      <c r="E30" s="4" t="s">
        <v>29</v>
      </c>
      <c r="F30" s="4" t="s">
        <v>30</v>
      </c>
      <c r="G30" s="5">
        <v>1</v>
      </c>
      <c r="H30" s="5"/>
      <c r="I30" s="5">
        <v>610</v>
      </c>
      <c r="J30" s="5">
        <v>0</v>
      </c>
      <c r="K30" s="5">
        <v>0</v>
      </c>
      <c r="L30" s="5">
        <v>610</v>
      </c>
      <c r="M30" s="5">
        <f t="shared" si="0"/>
        <v>610</v>
      </c>
      <c r="N30" s="5">
        <f t="shared" si="1"/>
        <v>30.5</v>
      </c>
      <c r="O30" s="5">
        <v>0</v>
      </c>
      <c r="P30" s="5">
        <v>0</v>
      </c>
      <c r="Q30" s="5">
        <f t="shared" si="2"/>
        <v>640.5</v>
      </c>
      <c r="R30" s="5">
        <v>1290</v>
      </c>
      <c r="S30" s="5">
        <v>701.5</v>
      </c>
      <c r="T30" s="5">
        <v>793</v>
      </c>
      <c r="U30" s="4"/>
      <c r="V30" s="4"/>
    </row>
    <row r="31" spans="1:22" ht="19.5" customHeight="1" x14ac:dyDescent="0.3">
      <c r="A31" s="4">
        <v>29</v>
      </c>
      <c r="B31" s="4" t="s">
        <v>58</v>
      </c>
      <c r="C31" s="4" t="s">
        <v>28</v>
      </c>
      <c r="D31" s="4">
        <v>520841</v>
      </c>
      <c r="E31" s="4" t="s">
        <v>29</v>
      </c>
      <c r="F31" s="4" t="s">
        <v>30</v>
      </c>
      <c r="G31" s="5">
        <v>1</v>
      </c>
      <c r="H31" s="5"/>
      <c r="I31" s="5">
        <v>610</v>
      </c>
      <c r="J31" s="5">
        <v>0</v>
      </c>
      <c r="K31" s="5">
        <v>0</v>
      </c>
      <c r="L31" s="5">
        <v>610</v>
      </c>
      <c r="M31" s="5">
        <f t="shared" si="0"/>
        <v>610</v>
      </c>
      <c r="N31" s="5">
        <f t="shared" si="1"/>
        <v>30.5</v>
      </c>
      <c r="O31" s="5">
        <v>0</v>
      </c>
      <c r="P31" s="5">
        <v>0</v>
      </c>
      <c r="Q31" s="5">
        <f t="shared" si="2"/>
        <v>640.5</v>
      </c>
      <c r="R31" s="5">
        <v>1290</v>
      </c>
      <c r="S31" s="5">
        <v>701.5</v>
      </c>
      <c r="T31" s="5">
        <v>793</v>
      </c>
      <c r="U31" s="4"/>
      <c r="V31" s="4"/>
    </row>
    <row r="32" spans="1:22" ht="19.5" customHeight="1" x14ac:dyDescent="0.3">
      <c r="A32" s="4">
        <v>30</v>
      </c>
      <c r="B32" s="4" t="s">
        <v>59</v>
      </c>
      <c r="C32" s="4" t="s">
        <v>28</v>
      </c>
      <c r="D32" s="4">
        <v>520841</v>
      </c>
      <c r="E32" s="4" t="s">
        <v>29</v>
      </c>
      <c r="F32" s="4" t="s">
        <v>30</v>
      </c>
      <c r="G32" s="5">
        <v>1</v>
      </c>
      <c r="H32" s="5"/>
      <c r="I32" s="5">
        <v>610</v>
      </c>
      <c r="J32" s="5">
        <v>0</v>
      </c>
      <c r="K32" s="5">
        <v>0</v>
      </c>
      <c r="L32" s="5">
        <v>610</v>
      </c>
      <c r="M32" s="5">
        <f t="shared" si="0"/>
        <v>610</v>
      </c>
      <c r="N32" s="5">
        <f t="shared" si="1"/>
        <v>30.5</v>
      </c>
      <c r="O32" s="5">
        <v>0</v>
      </c>
      <c r="P32" s="5">
        <v>0</v>
      </c>
      <c r="Q32" s="5">
        <f t="shared" si="2"/>
        <v>640.5</v>
      </c>
      <c r="R32" s="5">
        <v>1290</v>
      </c>
      <c r="S32" s="5">
        <v>701.5</v>
      </c>
      <c r="T32" s="5">
        <v>793</v>
      </c>
      <c r="U32" s="4"/>
      <c r="V32" s="4"/>
    </row>
    <row r="33" spans="1:22" ht="19.5" customHeight="1" x14ac:dyDescent="0.3">
      <c r="A33" s="4">
        <v>31</v>
      </c>
      <c r="B33" s="4" t="s">
        <v>60</v>
      </c>
      <c r="C33" s="4" t="s">
        <v>28</v>
      </c>
      <c r="D33" s="4">
        <v>520841</v>
      </c>
      <c r="E33" s="4" t="s">
        <v>29</v>
      </c>
      <c r="F33" s="4" t="s">
        <v>30</v>
      </c>
      <c r="G33" s="5">
        <v>1</v>
      </c>
      <c r="H33" s="5"/>
      <c r="I33" s="5">
        <v>610</v>
      </c>
      <c r="J33" s="5">
        <v>0</v>
      </c>
      <c r="K33" s="5">
        <v>0</v>
      </c>
      <c r="L33" s="5">
        <v>610</v>
      </c>
      <c r="M33" s="5">
        <f t="shared" si="0"/>
        <v>610</v>
      </c>
      <c r="N33" s="5">
        <f t="shared" si="1"/>
        <v>30.5</v>
      </c>
      <c r="O33" s="5">
        <v>0</v>
      </c>
      <c r="P33" s="5">
        <v>0</v>
      </c>
      <c r="Q33" s="5">
        <f t="shared" si="2"/>
        <v>640.5</v>
      </c>
      <c r="R33" s="5">
        <v>1290</v>
      </c>
      <c r="S33" s="5">
        <v>701.5</v>
      </c>
      <c r="T33" s="5">
        <v>793</v>
      </c>
      <c r="U33" s="4"/>
      <c r="V33" s="4"/>
    </row>
    <row r="34" spans="1:22" ht="19.5" customHeight="1" x14ac:dyDescent="0.3">
      <c r="A34" s="4">
        <v>32</v>
      </c>
      <c r="B34" s="4" t="s">
        <v>61</v>
      </c>
      <c r="C34" s="4" t="s">
        <v>28</v>
      </c>
      <c r="D34" s="4">
        <v>520841</v>
      </c>
      <c r="E34" s="4" t="s">
        <v>29</v>
      </c>
      <c r="F34" s="4" t="s">
        <v>30</v>
      </c>
      <c r="G34" s="5">
        <v>1</v>
      </c>
      <c r="H34" s="5"/>
      <c r="I34" s="5">
        <v>610</v>
      </c>
      <c r="J34" s="5">
        <v>0</v>
      </c>
      <c r="K34" s="5">
        <v>0</v>
      </c>
      <c r="L34" s="5">
        <v>610</v>
      </c>
      <c r="M34" s="5">
        <f t="shared" si="0"/>
        <v>610</v>
      </c>
      <c r="N34" s="5">
        <f t="shared" si="1"/>
        <v>30.5</v>
      </c>
      <c r="O34" s="5">
        <v>0</v>
      </c>
      <c r="P34" s="5">
        <v>0</v>
      </c>
      <c r="Q34" s="5">
        <f t="shared" si="2"/>
        <v>640.5</v>
      </c>
      <c r="R34" s="5">
        <v>1290</v>
      </c>
      <c r="S34" s="5">
        <v>701.5</v>
      </c>
      <c r="T34" s="5">
        <v>793</v>
      </c>
      <c r="U34" s="4"/>
      <c r="V34" s="4"/>
    </row>
    <row r="35" spans="1:22" ht="21.75" customHeight="1" x14ac:dyDescent="0.3">
      <c r="A35" s="6" t="s">
        <v>62</v>
      </c>
      <c r="B35" s="6"/>
      <c r="C35" s="6"/>
      <c r="D35" s="6"/>
      <c r="E35" s="6"/>
      <c r="F35" s="6"/>
      <c r="G35" s="7">
        <f>SUM(G3:G34)</f>
        <v>32</v>
      </c>
      <c r="H35" s="6"/>
      <c r="I35" s="6"/>
      <c r="J35" s="6"/>
      <c r="K35" s="6"/>
      <c r="L35" s="6"/>
      <c r="M35" s="7">
        <f>SUM(M3:M34)</f>
        <v>17720</v>
      </c>
      <c r="N35" s="7">
        <f>SUM(N3:N34)</f>
        <v>886</v>
      </c>
      <c r="O35" s="6"/>
      <c r="P35" s="6"/>
      <c r="Q35" s="7">
        <f>SUM(Q3:Q34)</f>
        <v>18606</v>
      </c>
      <c r="R35" s="6"/>
      <c r="S35" s="6"/>
      <c r="T35" s="6"/>
      <c r="U35" s="6"/>
      <c r="V35" s="6"/>
    </row>
    <row r="37" spans="1:22" ht="19.5" customHeight="1" x14ac:dyDescent="0.3">
      <c r="A37" s="8" t="s">
        <v>63</v>
      </c>
    </row>
    <row r="38" spans="1:22" ht="21.75" customHeight="1" x14ac:dyDescent="0.3">
      <c r="A38" s="9" t="s">
        <v>0</v>
      </c>
      <c r="B38" s="9" t="s">
        <v>64</v>
      </c>
      <c r="C38" s="9" t="s">
        <v>65</v>
      </c>
      <c r="D38" s="9" t="s">
        <v>66</v>
      </c>
      <c r="E38" s="9" t="s">
        <v>67</v>
      </c>
      <c r="F38" s="9" t="s">
        <v>68</v>
      </c>
      <c r="G38" s="9" t="s">
        <v>23</v>
      </c>
    </row>
    <row r="39" spans="1:22" ht="19.5" customHeight="1" x14ac:dyDescent="0.3">
      <c r="A39" s="4">
        <v>1</v>
      </c>
      <c r="B39" s="4">
        <v>1</v>
      </c>
      <c r="C39" s="4" t="str">
        <f>C3</f>
        <v>15-S-KL</v>
      </c>
      <c r="D39" s="10">
        <f>SUM(G3:G4)</f>
        <v>2</v>
      </c>
      <c r="E39" s="10">
        <f>SUM(M3:M4)</f>
        <v>620</v>
      </c>
      <c r="F39" s="10">
        <f t="shared" ref="F39:F46" si="3">ROUND(E39*5%,2)</f>
        <v>31</v>
      </c>
      <c r="G39" s="10">
        <f t="shared" ref="G39:G46" si="4">E39+F39</f>
        <v>651</v>
      </c>
    </row>
    <row r="40" spans="1:22" ht="19.5" customHeight="1" x14ac:dyDescent="0.3">
      <c r="A40" s="4">
        <v>2</v>
      </c>
      <c r="B40" s="4">
        <v>2</v>
      </c>
      <c r="C40" s="4" t="str">
        <f>C5</f>
        <v>15-S-KL</v>
      </c>
      <c r="D40" s="10">
        <f>SUM(G5:G6)</f>
        <v>2</v>
      </c>
      <c r="E40" s="10">
        <f>SUM(M5:M6)</f>
        <v>640</v>
      </c>
      <c r="F40" s="10">
        <f t="shared" si="3"/>
        <v>32</v>
      </c>
      <c r="G40" s="10">
        <f t="shared" si="4"/>
        <v>672</v>
      </c>
    </row>
    <row r="41" spans="1:22" ht="19.5" customHeight="1" x14ac:dyDescent="0.3">
      <c r="A41" s="4">
        <v>3</v>
      </c>
      <c r="B41" s="4">
        <v>3</v>
      </c>
      <c r="C41" s="4" t="str">
        <f>C7</f>
        <v>15-S-KL</v>
      </c>
      <c r="D41" s="10">
        <f>SUM(G7:G8)</f>
        <v>2</v>
      </c>
      <c r="E41" s="10">
        <f>SUM(M7:M8)</f>
        <v>750</v>
      </c>
      <c r="F41" s="10">
        <f t="shared" si="3"/>
        <v>37.5</v>
      </c>
      <c r="G41" s="10">
        <f t="shared" si="4"/>
        <v>787.5</v>
      </c>
    </row>
    <row r="42" spans="1:22" ht="19.5" customHeight="1" x14ac:dyDescent="0.3">
      <c r="A42" s="4">
        <v>4</v>
      </c>
      <c r="B42" s="4">
        <v>4</v>
      </c>
      <c r="C42" s="4" t="str">
        <f>C9</f>
        <v>15-S-KL</v>
      </c>
      <c r="D42" s="10">
        <f>SUM(G9:G10)</f>
        <v>2</v>
      </c>
      <c r="E42" s="10">
        <f>SUM(M9:M10)</f>
        <v>770</v>
      </c>
      <c r="F42" s="10">
        <f t="shared" si="3"/>
        <v>38.5</v>
      </c>
      <c r="G42" s="10">
        <f t="shared" si="4"/>
        <v>808.5</v>
      </c>
    </row>
    <row r="43" spans="1:22" ht="19.5" customHeight="1" x14ac:dyDescent="0.3">
      <c r="A43" s="4">
        <v>5</v>
      </c>
      <c r="B43" s="4">
        <v>5</v>
      </c>
      <c r="C43" s="4" t="str">
        <f>C11</f>
        <v>15-S-KL</v>
      </c>
      <c r="D43" s="10">
        <f>SUM(G11:G12)</f>
        <v>2</v>
      </c>
      <c r="E43" s="10">
        <f>SUM(M11:M12)</f>
        <v>800</v>
      </c>
      <c r="F43" s="10">
        <f t="shared" si="3"/>
        <v>40</v>
      </c>
      <c r="G43" s="10">
        <f t="shared" si="4"/>
        <v>840</v>
      </c>
    </row>
    <row r="44" spans="1:22" ht="19.5" customHeight="1" x14ac:dyDescent="0.3">
      <c r="A44" s="4">
        <v>6</v>
      </c>
      <c r="B44" s="4">
        <v>6</v>
      </c>
      <c r="C44" s="4" t="str">
        <f>C13</f>
        <v>15-S-KL</v>
      </c>
      <c r="D44" s="10">
        <f>SUM(G13:G20)</f>
        <v>8</v>
      </c>
      <c r="E44" s="10">
        <f>SUM(M13:M20)</f>
        <v>5120</v>
      </c>
      <c r="F44" s="10">
        <f t="shared" si="3"/>
        <v>256</v>
      </c>
      <c r="G44" s="10">
        <f t="shared" si="4"/>
        <v>5376</v>
      </c>
    </row>
    <row r="45" spans="1:22" ht="19.5" customHeight="1" x14ac:dyDescent="0.3">
      <c r="A45" s="4">
        <v>7</v>
      </c>
      <c r="B45" s="4">
        <v>7</v>
      </c>
      <c r="C45" s="4" t="str">
        <f>C21</f>
        <v>15-S-KL</v>
      </c>
      <c r="D45" s="10">
        <f>SUM(G21:G28)</f>
        <v>8</v>
      </c>
      <c r="E45" s="10">
        <f>SUM(M21:M28)</f>
        <v>5360</v>
      </c>
      <c r="F45" s="10">
        <f t="shared" si="3"/>
        <v>268</v>
      </c>
      <c r="G45" s="10">
        <f t="shared" si="4"/>
        <v>5628</v>
      </c>
    </row>
    <row r="46" spans="1:22" ht="19.5" customHeight="1" x14ac:dyDescent="0.3">
      <c r="A46" s="4">
        <v>8</v>
      </c>
      <c r="B46" s="4">
        <v>8</v>
      </c>
      <c r="C46" s="4" t="str">
        <f>C29</f>
        <v>15-S-KL</v>
      </c>
      <c r="D46" s="10">
        <f>SUM(G29:G34)</f>
        <v>6</v>
      </c>
      <c r="E46" s="10">
        <f>SUM(M29:M34)</f>
        <v>3660</v>
      </c>
      <c r="F46" s="10">
        <f t="shared" si="3"/>
        <v>183</v>
      </c>
      <c r="G46" s="10">
        <f t="shared" si="4"/>
        <v>3843</v>
      </c>
    </row>
    <row r="47" spans="1:22" ht="21.75" customHeight="1" x14ac:dyDescent="0.3">
      <c r="A47" s="11" t="s">
        <v>62</v>
      </c>
      <c r="B47" s="11"/>
      <c r="C47" s="11"/>
      <c r="D47" s="12">
        <f>SUM(D39:D46)</f>
        <v>32</v>
      </c>
      <c r="E47" s="12">
        <f>SUM(E39:E46)</f>
        <v>17720</v>
      </c>
      <c r="F47" s="12">
        <f>SUM(F39:F46)</f>
        <v>886</v>
      </c>
      <c r="G47" s="12">
        <f>SUM(G39:G46)</f>
        <v>18606</v>
      </c>
    </row>
  </sheetData>
  <mergeCells count="8">
    <mergeCell ref="R1:T1"/>
    <mergeCell ref="U1:U2"/>
    <mergeCell ref="V1:V2"/>
    <mergeCell ref="A1:A2"/>
    <mergeCell ref="B1:F1"/>
    <mergeCell ref="G1:H1"/>
    <mergeCell ref="I1:L1"/>
    <mergeCell ref="M1:Q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Itemized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2026-09-05T12:49:08Z</dcterms:created>
  <dcterms:modified xsi:type="dcterms:W3CDTF">2026-09-11T09:27:18Z</dcterms:modified>
  <dc:language>en-US</dc:language>
</cp:coreProperties>
</file>