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tem Details" sheetId="1" r:id="rId1"/>
  </sheets>
  <definedNames>
    <definedName name="_xlnm._FilterDatabase" localSheetId="0" hidden="1">'Item Details'!$A$1:$V$19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1" l="1"/>
  <c r="E24" i="1" s="1"/>
  <c r="D23" i="1"/>
  <c r="D24" i="1" s="1"/>
  <c r="C23" i="1"/>
  <c r="Q19" i="1"/>
  <c r="P19" i="1"/>
  <c r="O19" i="1"/>
  <c r="N19" i="1"/>
  <c r="M19" i="1"/>
  <c r="G19" i="1"/>
  <c r="F23" i="1" l="1"/>
  <c r="F24" i="1" s="1"/>
  <c r="G23" i="1"/>
  <c r="G24" i="1" s="1"/>
</calcChain>
</file>

<file path=xl/sharedStrings.xml><?xml version="1.0" encoding="utf-8"?>
<sst xmlns="http://schemas.openxmlformats.org/spreadsheetml/2006/main" count="99" uniqueCount="50">
  <si>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</si>
  <si>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</si>
  <si>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</si>
  <si>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</si>
  <si>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</si>
  <si>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</si>
  <si>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</si>
  <si>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</si>
  <si>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</si>
  <si>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</si>
  <si>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</si>
  <si>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</si>
  <si>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</si>
  <si>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</si>
  <si>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</si>
  <si>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</si>
  <si>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</si>
  <si>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</si>
  <si>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</si>
  <si>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</si>
  <si>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</si>
  <si>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</si>
  <si>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</si>
  <si>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</si>
  <si>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</si>
  <si>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8A2085</t>
  </si>
  <si>
    <t>10-CTNSLK</t>
  </si>
  <si>
    <t>GST 5%</t>
  </si>
  <si>
    <t>Mtr</t>
  </si>
  <si>
    <t>8A2086</t>
  </si>
  <si>
    <t>8A2087</t>
  </si>
  <si>
    <t>8A2088</t>
  </si>
  <si>
    <t>8A2089</t>
  </si>
  <si>
    <t>8A2090</t>
  </si>
  <si>
    <t>8A2091</t>
  </si>
  <si>
    <t>8A2092</t>
  </si>
  <si>
    <t>8A2093</t>
  </si>
  <si>
    <t>8A2094</t>
  </si>
  <si>
    <t>8A2095</t>
  </si>
  <si>
    <t>8A2096</t>
  </si>
  <si>
    <t>8A2097</t>
  </si>
  <si>
    <t>8A2098</t>
  </si>
  <si>
    <t>8A2099</t>
  </si>
  <si>
    <t>8A2100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</si>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</sst>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366092"/>
      <name val="Calibri"/>
      <charset val="1"/>
    </font>
    <font>
      <b/>
      <sz val="12"/>
      <color rgb="FF366092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2" customWidth="1"/>
    <col min="3" max="3" width="22" customWidth="1"/>
    <col min="4" max="4" width="12" customWidth="1"/>
    <col min="5" max="5" width="18" customWidth="1"/>
    <col min="6" max="7" width="12" customWidth="1"/>
    <col min="8" max="8" width="15" customWidth="1"/>
    <col min="9" max="9" width="17" customWidth="1"/>
    <col min="10" max="11" width="12" customWidth="1"/>
    <col min="12" max="14" width="14" customWidth="1"/>
    <col min="15" max="16" width="12" customWidth="1"/>
    <col min="17" max="17" width="14" customWidth="1"/>
    <col min="18" max="22" width="12" customWidth="1"/>
  </cols>
  <sheetData>
    <row r="1" spans="1:22" ht="14.2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x14ac:dyDescent="0.3">
      <c r="A3" s="3">
        <v>1</v>
      </c>
      <c r="B3" s="4" t="s">
        <v>25</v>
      </c>
      <c r="C3" s="5" t="s">
        <v>26</v>
      </c>
      <c r="D3" s="4">
        <v>500720</v>
      </c>
      <c r="E3" s="4" t="s">
        <v>27</v>
      </c>
      <c r="F3" s="4" t="s">
        <v>28</v>
      </c>
      <c r="G3" s="6">
        <v>10.85</v>
      </c>
      <c r="H3" s="7">
        <v>16</v>
      </c>
      <c r="I3" s="6">
        <v>300</v>
      </c>
      <c r="J3" s="6">
        <v>0</v>
      </c>
      <c r="K3" s="6">
        <v>0</v>
      </c>
      <c r="L3" s="6">
        <v>300</v>
      </c>
      <c r="M3" s="6">
        <v>3255</v>
      </c>
      <c r="N3" s="6">
        <v>0</v>
      </c>
      <c r="O3" s="6">
        <v>81.38</v>
      </c>
      <c r="P3" s="6">
        <v>81.38</v>
      </c>
      <c r="Q3" s="6">
        <v>3417.75</v>
      </c>
      <c r="R3" s="6">
        <v>436</v>
      </c>
      <c r="S3" s="6">
        <v>345</v>
      </c>
      <c r="T3" s="6">
        <v>390</v>
      </c>
      <c r="U3" s="4"/>
      <c r="V3" s="4"/>
    </row>
    <row r="4" spans="1:22" x14ac:dyDescent="0.3">
      <c r="A4" s="8">
        <v>2</v>
      </c>
      <c r="B4" s="9" t="s">
        <v>29</v>
      </c>
      <c r="C4" s="10" t="s">
        <v>26</v>
      </c>
      <c r="D4" s="9">
        <v>500720</v>
      </c>
      <c r="E4" s="9" t="s">
        <v>27</v>
      </c>
      <c r="F4" s="9" t="s">
        <v>28</v>
      </c>
      <c r="G4" s="11">
        <v>3.8</v>
      </c>
      <c r="H4" s="12">
        <v>16</v>
      </c>
      <c r="I4" s="11">
        <v>300</v>
      </c>
      <c r="J4" s="11">
        <v>0</v>
      </c>
      <c r="K4" s="11">
        <v>0</v>
      </c>
      <c r="L4" s="11">
        <v>300</v>
      </c>
      <c r="M4" s="11">
        <v>1140</v>
      </c>
      <c r="N4" s="11">
        <v>0</v>
      </c>
      <c r="O4" s="11">
        <v>28.5</v>
      </c>
      <c r="P4" s="11">
        <v>28.5</v>
      </c>
      <c r="Q4" s="11">
        <v>1197</v>
      </c>
      <c r="R4" s="11">
        <v>436</v>
      </c>
      <c r="S4" s="11">
        <v>345</v>
      </c>
      <c r="T4" s="11">
        <v>390</v>
      </c>
      <c r="U4" s="9"/>
      <c r="V4" s="9"/>
    </row>
    <row r="5" spans="1:22" x14ac:dyDescent="0.3">
      <c r="A5" s="3">
        <v>3</v>
      </c>
      <c r="B5" s="4" t="s">
        <v>30</v>
      </c>
      <c r="C5" s="5" t="s">
        <v>26</v>
      </c>
      <c r="D5" s="4">
        <v>500720</v>
      </c>
      <c r="E5" s="4" t="s">
        <v>27</v>
      </c>
      <c r="F5" s="4" t="s">
        <v>28</v>
      </c>
      <c r="G5" s="6">
        <v>4.6500000000000004</v>
      </c>
      <c r="H5" s="7">
        <v>16</v>
      </c>
      <c r="I5" s="6">
        <v>300</v>
      </c>
      <c r="J5" s="6">
        <v>0</v>
      </c>
      <c r="K5" s="6">
        <v>0</v>
      </c>
      <c r="L5" s="6">
        <v>300</v>
      </c>
      <c r="M5" s="6">
        <v>1395</v>
      </c>
      <c r="N5" s="6">
        <v>0</v>
      </c>
      <c r="O5" s="6">
        <v>34.880000000000003</v>
      </c>
      <c r="P5" s="6">
        <v>34.880000000000003</v>
      </c>
      <c r="Q5" s="6">
        <v>1464.75</v>
      </c>
      <c r="R5" s="6">
        <v>436</v>
      </c>
      <c r="S5" s="6">
        <v>345</v>
      </c>
      <c r="T5" s="6">
        <v>390</v>
      </c>
      <c r="U5" s="4"/>
      <c r="V5" s="4"/>
    </row>
    <row r="6" spans="1:22" x14ac:dyDescent="0.3">
      <c r="A6" s="8">
        <v>4</v>
      </c>
      <c r="B6" s="9" t="s">
        <v>31</v>
      </c>
      <c r="C6" s="10" t="s">
        <v>26</v>
      </c>
      <c r="D6" s="9">
        <v>500720</v>
      </c>
      <c r="E6" s="9" t="s">
        <v>27</v>
      </c>
      <c r="F6" s="9" t="s">
        <v>28</v>
      </c>
      <c r="G6" s="11">
        <v>4.8499999999999996</v>
      </c>
      <c r="H6" s="12">
        <v>16</v>
      </c>
      <c r="I6" s="11">
        <v>300</v>
      </c>
      <c r="J6" s="11">
        <v>0</v>
      </c>
      <c r="K6" s="11">
        <v>0</v>
      </c>
      <c r="L6" s="11">
        <v>300</v>
      </c>
      <c r="M6" s="11">
        <v>1455</v>
      </c>
      <c r="N6" s="11">
        <v>0</v>
      </c>
      <c r="O6" s="11">
        <v>36.380000000000003</v>
      </c>
      <c r="P6" s="11">
        <v>36.380000000000003</v>
      </c>
      <c r="Q6" s="11">
        <v>1527.75</v>
      </c>
      <c r="R6" s="11">
        <v>436</v>
      </c>
      <c r="S6" s="11">
        <v>345</v>
      </c>
      <c r="T6" s="11">
        <v>390</v>
      </c>
      <c r="U6" s="9"/>
      <c r="V6" s="9"/>
    </row>
    <row r="7" spans="1:22" x14ac:dyDescent="0.3">
      <c r="A7" s="3">
        <v>5</v>
      </c>
      <c r="B7" s="4" t="s">
        <v>32</v>
      </c>
      <c r="C7" s="5" t="s">
        <v>26</v>
      </c>
      <c r="D7" s="4">
        <v>500720</v>
      </c>
      <c r="E7" s="4" t="s">
        <v>27</v>
      </c>
      <c r="F7" s="4" t="s">
        <v>28</v>
      </c>
      <c r="G7" s="6">
        <v>4.5999999999999996</v>
      </c>
      <c r="H7" s="7">
        <v>16</v>
      </c>
      <c r="I7" s="6">
        <v>300</v>
      </c>
      <c r="J7" s="6">
        <v>0</v>
      </c>
      <c r="K7" s="6">
        <v>0</v>
      </c>
      <c r="L7" s="6">
        <v>300</v>
      </c>
      <c r="M7" s="6">
        <v>1380</v>
      </c>
      <c r="N7" s="6">
        <v>0</v>
      </c>
      <c r="O7" s="6">
        <v>34.5</v>
      </c>
      <c r="P7" s="6">
        <v>34.5</v>
      </c>
      <c r="Q7" s="6">
        <v>1449</v>
      </c>
      <c r="R7" s="6">
        <v>436</v>
      </c>
      <c r="S7" s="6">
        <v>345</v>
      </c>
      <c r="T7" s="6">
        <v>390</v>
      </c>
      <c r="U7" s="4"/>
      <c r="V7" s="4"/>
    </row>
    <row r="8" spans="1:22" x14ac:dyDescent="0.3">
      <c r="A8" s="8">
        <v>6</v>
      </c>
      <c r="B8" s="9" t="s">
        <v>33</v>
      </c>
      <c r="C8" s="10" t="s">
        <v>26</v>
      </c>
      <c r="D8" s="9">
        <v>500720</v>
      </c>
      <c r="E8" s="9" t="s">
        <v>27</v>
      </c>
      <c r="F8" s="9" t="s">
        <v>28</v>
      </c>
      <c r="G8" s="11">
        <v>8.1999999999999993</v>
      </c>
      <c r="H8" s="12">
        <v>16</v>
      </c>
      <c r="I8" s="11">
        <v>300</v>
      </c>
      <c r="J8" s="11">
        <v>0</v>
      </c>
      <c r="K8" s="11">
        <v>0</v>
      </c>
      <c r="L8" s="11">
        <v>300</v>
      </c>
      <c r="M8" s="11">
        <v>2460</v>
      </c>
      <c r="N8" s="11">
        <v>0</v>
      </c>
      <c r="O8" s="11">
        <v>61.5</v>
      </c>
      <c r="P8" s="11">
        <v>61.5</v>
      </c>
      <c r="Q8" s="11">
        <v>2583</v>
      </c>
      <c r="R8" s="11">
        <v>436</v>
      </c>
      <c r="S8" s="11">
        <v>345</v>
      </c>
      <c r="T8" s="11">
        <v>390</v>
      </c>
      <c r="U8" s="9"/>
      <c r="V8" s="9"/>
    </row>
    <row r="9" spans="1:22" x14ac:dyDescent="0.3">
      <c r="A9" s="3">
        <v>7</v>
      </c>
      <c r="B9" s="4" t="s">
        <v>34</v>
      </c>
      <c r="C9" s="5" t="s">
        <v>26</v>
      </c>
      <c r="D9" s="4">
        <v>500720</v>
      </c>
      <c r="E9" s="4" t="s">
        <v>27</v>
      </c>
      <c r="F9" s="4" t="s">
        <v>28</v>
      </c>
      <c r="G9" s="6">
        <v>2.5</v>
      </c>
      <c r="H9" s="7">
        <v>16</v>
      </c>
      <c r="I9" s="6">
        <v>300</v>
      </c>
      <c r="J9" s="6">
        <v>0</v>
      </c>
      <c r="K9" s="6">
        <v>0</v>
      </c>
      <c r="L9" s="6">
        <v>300</v>
      </c>
      <c r="M9" s="6">
        <v>750</v>
      </c>
      <c r="N9" s="6">
        <v>0</v>
      </c>
      <c r="O9" s="6">
        <v>18.75</v>
      </c>
      <c r="P9" s="6">
        <v>18.75</v>
      </c>
      <c r="Q9" s="6">
        <v>787.5</v>
      </c>
      <c r="R9" s="6">
        <v>436</v>
      </c>
      <c r="S9" s="6">
        <v>345</v>
      </c>
      <c r="T9" s="6">
        <v>390</v>
      </c>
      <c r="U9" s="4"/>
      <c r="V9" s="4"/>
    </row>
    <row r="10" spans="1:22" x14ac:dyDescent="0.3">
      <c r="A10" s="8">
        <v>8</v>
      </c>
      <c r="B10" s="9" t="s">
        <v>35</v>
      </c>
      <c r="C10" s="10" t="s">
        <v>26</v>
      </c>
      <c r="D10" s="9">
        <v>500720</v>
      </c>
      <c r="E10" s="9" t="s">
        <v>27</v>
      </c>
      <c r="F10" s="9" t="s">
        <v>28</v>
      </c>
      <c r="G10" s="11">
        <v>4.25</v>
      </c>
      <c r="H10" s="12">
        <v>16</v>
      </c>
      <c r="I10" s="11">
        <v>300</v>
      </c>
      <c r="J10" s="11">
        <v>0</v>
      </c>
      <c r="K10" s="11">
        <v>0</v>
      </c>
      <c r="L10" s="11">
        <v>300</v>
      </c>
      <c r="M10" s="11">
        <v>1275</v>
      </c>
      <c r="N10" s="11">
        <v>0</v>
      </c>
      <c r="O10" s="11">
        <v>31.88</v>
      </c>
      <c r="P10" s="11">
        <v>31.88</v>
      </c>
      <c r="Q10" s="11">
        <v>1338.75</v>
      </c>
      <c r="R10" s="11">
        <v>436</v>
      </c>
      <c r="S10" s="11">
        <v>345</v>
      </c>
      <c r="T10" s="11">
        <v>390</v>
      </c>
      <c r="U10" s="9"/>
      <c r="V10" s="9"/>
    </row>
    <row r="11" spans="1:22" x14ac:dyDescent="0.3">
      <c r="A11" s="3">
        <v>9</v>
      </c>
      <c r="B11" s="4" t="s">
        <v>36</v>
      </c>
      <c r="C11" s="5" t="s">
        <v>26</v>
      </c>
      <c r="D11" s="4">
        <v>500720</v>
      </c>
      <c r="E11" s="4" t="s">
        <v>27</v>
      </c>
      <c r="F11" s="4" t="s">
        <v>28</v>
      </c>
      <c r="G11" s="6">
        <v>3</v>
      </c>
      <c r="H11" s="7">
        <v>16</v>
      </c>
      <c r="I11" s="6">
        <v>300</v>
      </c>
      <c r="J11" s="6">
        <v>0</v>
      </c>
      <c r="K11" s="6">
        <v>0</v>
      </c>
      <c r="L11" s="6">
        <v>300</v>
      </c>
      <c r="M11" s="6">
        <v>900</v>
      </c>
      <c r="N11" s="6">
        <v>0</v>
      </c>
      <c r="O11" s="6">
        <v>22.5</v>
      </c>
      <c r="P11" s="6">
        <v>22.5</v>
      </c>
      <c r="Q11" s="6">
        <v>945</v>
      </c>
      <c r="R11" s="6">
        <v>436</v>
      </c>
      <c r="S11" s="6">
        <v>345</v>
      </c>
      <c r="T11" s="6">
        <v>390</v>
      </c>
      <c r="U11" s="4"/>
      <c r="V11" s="4"/>
    </row>
    <row r="12" spans="1:22" x14ac:dyDescent="0.3">
      <c r="A12" s="8">
        <v>10</v>
      </c>
      <c r="B12" s="9" t="s">
        <v>37</v>
      </c>
      <c r="C12" s="10" t="s">
        <v>26</v>
      </c>
      <c r="D12" s="9">
        <v>500720</v>
      </c>
      <c r="E12" s="9" t="s">
        <v>27</v>
      </c>
      <c r="F12" s="9" t="s">
        <v>28</v>
      </c>
      <c r="G12" s="11">
        <v>2.8</v>
      </c>
      <c r="H12" s="12">
        <v>16</v>
      </c>
      <c r="I12" s="11">
        <v>300</v>
      </c>
      <c r="J12" s="11">
        <v>0</v>
      </c>
      <c r="K12" s="11">
        <v>0</v>
      </c>
      <c r="L12" s="11">
        <v>300</v>
      </c>
      <c r="M12" s="11">
        <v>840</v>
      </c>
      <c r="N12" s="11">
        <v>0</v>
      </c>
      <c r="O12" s="11">
        <v>21</v>
      </c>
      <c r="P12" s="11">
        <v>21</v>
      </c>
      <c r="Q12" s="11">
        <v>882</v>
      </c>
      <c r="R12" s="11">
        <v>436</v>
      </c>
      <c r="S12" s="11">
        <v>345</v>
      </c>
      <c r="T12" s="11">
        <v>390</v>
      </c>
      <c r="U12" s="9"/>
      <c r="V12" s="9"/>
    </row>
    <row r="13" spans="1:22" x14ac:dyDescent="0.3">
      <c r="A13" s="3">
        <v>11</v>
      </c>
      <c r="B13" s="4" t="s">
        <v>38</v>
      </c>
      <c r="C13" s="5" t="s">
        <v>26</v>
      </c>
      <c r="D13" s="4">
        <v>500720</v>
      </c>
      <c r="E13" s="4" t="s">
        <v>27</v>
      </c>
      <c r="F13" s="4" t="s">
        <v>28</v>
      </c>
      <c r="G13" s="6">
        <v>2.9</v>
      </c>
      <c r="H13" s="7">
        <v>16</v>
      </c>
      <c r="I13" s="6">
        <v>300</v>
      </c>
      <c r="J13" s="6">
        <v>0</v>
      </c>
      <c r="K13" s="6">
        <v>0</v>
      </c>
      <c r="L13" s="6">
        <v>300</v>
      </c>
      <c r="M13" s="6">
        <v>870</v>
      </c>
      <c r="N13" s="6">
        <v>0</v>
      </c>
      <c r="O13" s="6">
        <v>21.75</v>
      </c>
      <c r="P13" s="6">
        <v>21.75</v>
      </c>
      <c r="Q13" s="6">
        <v>913.5</v>
      </c>
      <c r="R13" s="6">
        <v>436</v>
      </c>
      <c r="S13" s="6">
        <v>345</v>
      </c>
      <c r="T13" s="6">
        <v>390</v>
      </c>
      <c r="U13" s="4"/>
      <c r="V13" s="4"/>
    </row>
    <row r="14" spans="1:22" x14ac:dyDescent="0.3">
      <c r="A14" s="8">
        <v>12</v>
      </c>
      <c r="B14" s="9" t="s">
        <v>39</v>
      </c>
      <c r="C14" s="10" t="s">
        <v>26</v>
      </c>
      <c r="D14" s="9">
        <v>500720</v>
      </c>
      <c r="E14" s="9" t="s">
        <v>27</v>
      </c>
      <c r="F14" s="9" t="s">
        <v>28</v>
      </c>
      <c r="G14" s="11">
        <v>3.2</v>
      </c>
      <c r="H14" s="12">
        <v>16</v>
      </c>
      <c r="I14" s="11">
        <v>300</v>
      </c>
      <c r="J14" s="11">
        <v>0</v>
      </c>
      <c r="K14" s="11">
        <v>0</v>
      </c>
      <c r="L14" s="11">
        <v>300</v>
      </c>
      <c r="M14" s="11">
        <v>960</v>
      </c>
      <c r="N14" s="11">
        <v>0</v>
      </c>
      <c r="O14" s="11">
        <v>24</v>
      </c>
      <c r="P14" s="11">
        <v>24</v>
      </c>
      <c r="Q14" s="11">
        <v>1008</v>
      </c>
      <c r="R14" s="11">
        <v>436</v>
      </c>
      <c r="S14" s="11">
        <v>345</v>
      </c>
      <c r="T14" s="11">
        <v>390</v>
      </c>
      <c r="U14" s="9"/>
      <c r="V14" s="9"/>
    </row>
    <row r="15" spans="1:22" x14ac:dyDescent="0.3">
      <c r="A15" s="3">
        <v>13</v>
      </c>
      <c r="B15" s="4" t="s">
        <v>40</v>
      </c>
      <c r="C15" s="5" t="s">
        <v>26</v>
      </c>
      <c r="D15" s="4">
        <v>500720</v>
      </c>
      <c r="E15" s="4" t="s">
        <v>27</v>
      </c>
      <c r="F15" s="4" t="s">
        <v>28</v>
      </c>
      <c r="G15" s="6">
        <v>4.45</v>
      </c>
      <c r="H15" s="7">
        <v>16</v>
      </c>
      <c r="I15" s="6">
        <v>300</v>
      </c>
      <c r="J15" s="6">
        <v>0</v>
      </c>
      <c r="K15" s="6">
        <v>0</v>
      </c>
      <c r="L15" s="6">
        <v>300</v>
      </c>
      <c r="M15" s="6">
        <v>1335</v>
      </c>
      <c r="N15" s="6">
        <v>0</v>
      </c>
      <c r="O15" s="6">
        <v>33.380000000000003</v>
      </c>
      <c r="P15" s="6">
        <v>33.380000000000003</v>
      </c>
      <c r="Q15" s="6">
        <v>1401.75</v>
      </c>
      <c r="R15" s="6">
        <v>436</v>
      </c>
      <c r="S15" s="6">
        <v>345</v>
      </c>
      <c r="T15" s="6">
        <v>390</v>
      </c>
      <c r="U15" s="4"/>
      <c r="V15" s="4"/>
    </row>
    <row r="16" spans="1:22" x14ac:dyDescent="0.3">
      <c r="A16" s="8">
        <v>14</v>
      </c>
      <c r="B16" s="9" t="s">
        <v>41</v>
      </c>
      <c r="C16" s="10" t="s">
        <v>26</v>
      </c>
      <c r="D16" s="9">
        <v>500720</v>
      </c>
      <c r="E16" s="9" t="s">
        <v>27</v>
      </c>
      <c r="F16" s="9" t="s">
        <v>28</v>
      </c>
      <c r="G16" s="11">
        <v>8.1</v>
      </c>
      <c r="H16" s="12">
        <v>16</v>
      </c>
      <c r="I16" s="11">
        <v>300</v>
      </c>
      <c r="J16" s="11">
        <v>0</v>
      </c>
      <c r="K16" s="11">
        <v>0</v>
      </c>
      <c r="L16" s="11">
        <v>300</v>
      </c>
      <c r="M16" s="11">
        <v>2430</v>
      </c>
      <c r="N16" s="11">
        <v>0</v>
      </c>
      <c r="O16" s="11">
        <v>60.75</v>
      </c>
      <c r="P16" s="11">
        <v>60.75</v>
      </c>
      <c r="Q16" s="11">
        <v>2551.5</v>
      </c>
      <c r="R16" s="11">
        <v>436</v>
      </c>
      <c r="S16" s="11">
        <v>345</v>
      </c>
      <c r="T16" s="11">
        <v>390</v>
      </c>
      <c r="U16" s="9"/>
      <c r="V16" s="9"/>
    </row>
    <row r="17" spans="1:22" x14ac:dyDescent="0.3">
      <c r="A17" s="3">
        <v>15</v>
      </c>
      <c r="B17" s="4" t="s">
        <v>42</v>
      </c>
      <c r="C17" s="5" t="s">
        <v>26</v>
      </c>
      <c r="D17" s="4">
        <v>500720</v>
      </c>
      <c r="E17" s="4" t="s">
        <v>27</v>
      </c>
      <c r="F17" s="4" t="s">
        <v>28</v>
      </c>
      <c r="G17" s="6">
        <v>7</v>
      </c>
      <c r="H17" s="7">
        <v>16</v>
      </c>
      <c r="I17" s="6">
        <v>300</v>
      </c>
      <c r="J17" s="6">
        <v>0</v>
      </c>
      <c r="K17" s="6">
        <v>0</v>
      </c>
      <c r="L17" s="6">
        <v>300</v>
      </c>
      <c r="M17" s="6">
        <v>2100</v>
      </c>
      <c r="N17" s="6">
        <v>0</v>
      </c>
      <c r="O17" s="6">
        <v>52.5</v>
      </c>
      <c r="P17" s="6">
        <v>52.5</v>
      </c>
      <c r="Q17" s="6">
        <v>2205</v>
      </c>
      <c r="R17" s="6">
        <v>436</v>
      </c>
      <c r="S17" s="6">
        <v>345</v>
      </c>
      <c r="T17" s="6">
        <v>390</v>
      </c>
      <c r="U17" s="4"/>
      <c r="V17" s="4"/>
    </row>
    <row r="18" spans="1:22" x14ac:dyDescent="0.3">
      <c r="A18" s="8">
        <v>16</v>
      </c>
      <c r="B18" s="9" t="s">
        <v>43</v>
      </c>
      <c r="C18" s="10" t="s">
        <v>26</v>
      </c>
      <c r="D18" s="9">
        <v>500720</v>
      </c>
      <c r="E18" s="9" t="s">
        <v>27</v>
      </c>
      <c r="F18" s="9" t="s">
        <v>28</v>
      </c>
      <c r="G18" s="11">
        <v>5.5</v>
      </c>
      <c r="H18" s="12">
        <v>16</v>
      </c>
      <c r="I18" s="11">
        <v>300</v>
      </c>
      <c r="J18" s="11">
        <v>0</v>
      </c>
      <c r="K18" s="11">
        <v>0</v>
      </c>
      <c r="L18" s="11">
        <v>300</v>
      </c>
      <c r="M18" s="11">
        <v>1650</v>
      </c>
      <c r="N18" s="11">
        <v>0</v>
      </c>
      <c r="O18" s="11">
        <v>41.25</v>
      </c>
      <c r="P18" s="11">
        <v>41.25</v>
      </c>
      <c r="Q18" s="11">
        <v>1732.5</v>
      </c>
      <c r="R18" s="11">
        <v>436</v>
      </c>
      <c r="S18" s="11">
        <v>345</v>
      </c>
      <c r="T18" s="11">
        <v>390</v>
      </c>
      <c r="U18" s="9"/>
      <c r="V18" s="9"/>
    </row>
    <row r="19" spans="1:22" x14ac:dyDescent="0.3">
      <c r="A19" s="13" t="s">
        <v>44</v>
      </c>
      <c r="B19" s="13"/>
      <c r="C19" s="14"/>
      <c r="D19" s="13"/>
      <c r="E19" s="13"/>
      <c r="F19" s="13"/>
      <c r="G19" s="15">
        <f>SUM(G3:G18)</f>
        <v>80.650000000000006</v>
      </c>
      <c r="H19" s="16"/>
      <c r="I19" s="16"/>
      <c r="J19" s="16"/>
      <c r="K19" s="16"/>
      <c r="L19" s="16"/>
      <c r="M19" s="15">
        <f>SUM(M3:M18)</f>
        <v>24195</v>
      </c>
      <c r="N19" s="15">
        <f>SUM(N3:N18)</f>
        <v>0</v>
      </c>
      <c r="O19" s="15">
        <f>SUM(O3:O18)</f>
        <v>604.9</v>
      </c>
      <c r="P19" s="15">
        <f>SUM(P3:P18)</f>
        <v>604.9</v>
      </c>
      <c r="Q19" s="15">
        <f>SUM(Q3:Q18)</f>
        <v>25404.75</v>
      </c>
      <c r="R19" s="16"/>
      <c r="S19" s="16"/>
      <c r="T19" s="16"/>
      <c r="U19" s="13"/>
      <c r="V19" s="13"/>
    </row>
    <row r="21" spans="1:22" ht="19.5" customHeight="1" x14ac:dyDescent="0.3">
      <c r="A21" s="17" t="s">
        <v>45</v>
      </c>
    </row>
    <row r="22" spans="1:22" ht="21.75" customHeight="1" x14ac:dyDescent="0.3">
      <c r="A22" s="18" t="s">
        <v>0</v>
      </c>
      <c r="B22" s="18" t="s">
        <v>46</v>
      </c>
      <c r="C22" s="18" t="s">
        <v>47</v>
      </c>
      <c r="D22" s="18" t="s">
        <v>48</v>
      </c>
      <c r="E22" s="18" t="s">
        <v>49</v>
      </c>
      <c r="F22" s="18" t="s">
        <v>8</v>
      </c>
      <c r="G22" s="18" t="s">
        <v>9</v>
      </c>
    </row>
    <row r="23" spans="1:22" ht="18" customHeight="1" x14ac:dyDescent="0.3">
      <c r="A23" s="19">
        <v>1</v>
      </c>
      <c r="B23" s="19">
        <v>1</v>
      </c>
      <c r="C23" s="19" t="str">
        <f>C3</f>
        <v>10-CTNSLK</v>
      </c>
      <c r="D23" s="20">
        <f>SUM(G3:G18)</f>
        <v>80.650000000000006</v>
      </c>
      <c r="E23" s="20">
        <f>SUM(M3:M18)</f>
        <v>24195</v>
      </c>
      <c r="F23" s="20">
        <f>ROUND(E23*5%,2)</f>
        <v>1209.75</v>
      </c>
      <c r="G23" s="20">
        <f>E23+F23</f>
        <v>25404.75</v>
      </c>
    </row>
    <row r="24" spans="1:22" ht="18" customHeight="1" x14ac:dyDescent="0.3">
      <c r="A24" s="21" t="s">
        <v>44</v>
      </c>
      <c r="B24" s="21"/>
      <c r="C24" s="21"/>
      <c r="D24" s="22">
        <f>SUM(D23:D23)</f>
        <v>80.650000000000006</v>
      </c>
      <c r="E24" s="22">
        <f>SUM(E23:E23)</f>
        <v>24195</v>
      </c>
      <c r="F24" s="22">
        <f>SUM(F23:F23)</f>
        <v>1209.75</v>
      </c>
      <c r="G24" s="22">
        <f>SUM(G23:G23)</f>
        <v>25404.75</v>
      </c>
    </row>
  </sheetData>
  <autoFilter ref="A1:V19"/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2026-09-05T10:57:39Z</dcterms:created>
  <dcterms:modified xsi:type="dcterms:W3CDTF">2026-09-10T12:44:37Z</dcterms:modified>
  <dc:language>en-US</dc:language>
</cp:coreProperties>
</file>