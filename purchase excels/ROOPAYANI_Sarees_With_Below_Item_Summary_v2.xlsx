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'Sheet1'!$A$1:$V$17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charset val="1"/>
      <b val="1"/>
      <color rgb="FFFFFFFF"/>
      <sz val="9"/>
    </font>
    <font>
      <name val="Arial"/>
      <charset val="1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66092"/>
      <sz val="11"/>
    </font>
    <font>
      <name val="Calibri"/>
      <b val="1"/>
      <color rgb="00000000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  <fill>
      <patternFill patternType="solid">
        <fgColor rgb="00E9EEF4"/>
        <bgColor rgb="00E9EEF4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366092"/>
      </top>
      <bottom style="double">
        <color rgb="00366092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4" fontId="1" fillId="2" borderId="1" pivotButton="0" quotePrefix="0" xfId="0"/>
    <xf numFmtId="0" fontId="1" fillId="2" borderId="1" pivotButton="0" quotePrefix="0" xfId="0"/>
    <xf numFmtId="0" fontId="3" fillId="3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left" vertical="center"/>
    </xf>
    <xf numFmtId="3" fontId="4" fillId="4" borderId="9" applyAlignment="1" pivotButton="0" quotePrefix="0" xfId="0">
      <alignment horizontal="right" vertical="center"/>
    </xf>
    <xf numFmtId="0" fontId="4" fillId="4" borderId="9" applyAlignment="1" pivotButton="0" quotePrefix="0" xfId="0">
      <alignment horizontal="right" vertical="center"/>
    </xf>
    <xf numFmtId="4" fontId="4" fillId="4" borderId="9" applyAlignment="1" pivotButton="0" quotePrefix="0" xfId="0">
      <alignment horizontal="right" vertical="center"/>
    </xf>
    <xf numFmtId="0" fontId="4" fillId="5" borderId="9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left" vertical="center"/>
    </xf>
    <xf numFmtId="3" fontId="4" fillId="5" borderId="9" applyAlignment="1" pivotButton="0" quotePrefix="0" xfId="0">
      <alignment horizontal="right" vertical="center"/>
    </xf>
    <xf numFmtId="4" fontId="4" fillId="5" borderId="9" applyAlignment="1" pivotButton="0" quotePrefix="0" xfId="0">
      <alignment horizontal="right" vertical="center"/>
    </xf>
    <xf numFmtId="0" fontId="5" fillId="6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left" vertical="center"/>
    </xf>
    <xf numFmtId="3" fontId="5" fillId="6" borderId="10" applyAlignment="1" pivotButton="0" quotePrefix="0" xfId="0">
      <alignment horizontal="right" vertical="center"/>
    </xf>
    <xf numFmtId="4" fontId="5" fillId="6" borderId="10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3" pivotButton="0" quotePrefix="0" xfId="0"/>
    <xf numFmtId="0" fontId="0" fillId="0" borderId="17" pivotButton="0" quotePrefix="0" xfId="0"/>
    <xf numFmtId="0" fontId="6" fillId="0" borderId="0" pivotButton="0" quotePrefix="0" xfId="0"/>
    <xf numFmtId="0" fontId="3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left" vertical="center"/>
    </xf>
    <xf numFmtId="4" fontId="7" fillId="0" borderId="9" applyAlignment="1" pivotButton="0" quotePrefix="0" xfId="0">
      <alignment horizontal="right" vertical="center"/>
    </xf>
    <xf numFmtId="0" fontId="8" fillId="7" borderId="9" applyAlignment="1" pivotButton="0" quotePrefix="0" xfId="0">
      <alignment horizontal="center" vertical="center"/>
    </xf>
    <xf numFmtId="0" fontId="8" fillId="7" borderId="9" pivotButton="0" quotePrefix="0" xfId="0"/>
    <xf numFmtId="4" fontId="8" fillId="7" borderId="9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0" tabSelected="1" zoomScaleNormal="100" workbookViewId="0">
      <pane ySplit="2" topLeftCell="A3" activePane="bottomLeft" state="frozen"/>
      <selection pane="bottomLeft" activeCell="A1" sqref="A1:A2"/>
    </sheetView>
  </sheetViews>
  <sheetFormatPr baseColWidth="8" defaultColWidth="8.6640625" defaultRowHeight="14.4"/>
  <cols>
    <col width="8" customWidth="1" min="1" max="1"/>
    <col width="12" customWidth="1" min="2" max="3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7" customWidth="1" min="9" max="9"/>
    <col width="12" customWidth="1" min="10" max="11"/>
    <col width="12" customWidth="1" min="11" max="11"/>
    <col width="14" customWidth="1" min="12" max="12"/>
    <col width="14" customWidth="1" min="13" max="13"/>
    <col width="14" customWidth="1" min="14" max="16"/>
    <col width="12" customWidth="1" min="15" max="15"/>
    <col width="12" customWidth="1" min="16" max="16"/>
    <col width="14" customWidth="1" min="17" max="17"/>
    <col width="12" customWidth="1" min="18" max="18"/>
    <col width="12" customWidth="1" min="19" max="20"/>
    <col width="12" customWidth="1" min="20" max="20"/>
    <col width="12" customWidth="1" min="21" max="22"/>
    <col width="12" customWidth="1" min="22" max="22"/>
  </cols>
  <sheetData>
    <row r="1" ht="15" customHeight="1">
      <c r="A1" s="7" t="inlineStr">
        <is>
          <t>Sl No</t>
        </is>
      </c>
      <c r="B1" s="7" t="inlineStr">
        <is>
          <t>Item</t>
        </is>
      </c>
      <c r="C1" s="21" t="n"/>
      <c r="D1" s="21" t="n"/>
      <c r="E1" s="21" t="n"/>
      <c r="F1" s="22" t="n"/>
      <c r="G1" s="7" t="inlineStr">
        <is>
          <t>QTY/MTR</t>
        </is>
      </c>
      <c r="H1" s="7" t="inlineStr">
        <is>
          <t>No. of Cuts</t>
        </is>
      </c>
      <c r="I1" s="7" t="inlineStr">
        <is>
          <t>Purchase Rate</t>
        </is>
      </c>
      <c r="J1" s="7" t="inlineStr">
        <is>
          <t>Discount</t>
        </is>
      </c>
      <c r="K1" s="22" t="n"/>
      <c r="L1" s="7" t="inlineStr">
        <is>
          <t>Final Rate</t>
        </is>
      </c>
      <c r="M1" s="7" t="inlineStr">
        <is>
          <t>Before Tax</t>
        </is>
      </c>
      <c r="N1" s="7" t="inlineStr">
        <is>
          <t>GST Amount</t>
        </is>
      </c>
      <c r="O1" s="21" t="n"/>
      <c r="P1" s="22" t="n"/>
      <c r="Q1" s="7" t="inlineStr">
        <is>
          <t>Net Amount</t>
        </is>
      </c>
      <c r="R1" s="7" t="inlineStr">
        <is>
          <t>RSP</t>
        </is>
      </c>
      <c r="S1" s="7" t="inlineStr">
        <is>
          <t>WSP</t>
        </is>
      </c>
      <c r="T1" s="7" t="inlineStr">
        <is>
          <t>DP</t>
        </is>
      </c>
      <c r="U1" s="7" t="inlineStr">
        <is>
          <t>Variant</t>
        </is>
      </c>
      <c r="V1" s="7" t="inlineStr">
        <is>
          <t>Action</t>
        </is>
      </c>
    </row>
    <row r="2" ht="15" customHeight="1">
      <c r="A2" s="23" t="n"/>
      <c r="B2" s="7" t="inlineStr">
        <is>
          <t>Code</t>
        </is>
      </c>
      <c r="C2" s="7" t="inlineStr">
        <is>
          <t>Name</t>
        </is>
      </c>
      <c r="D2" s="7" t="inlineStr">
        <is>
          <t>HSN</t>
        </is>
      </c>
      <c r="E2" s="7" t="inlineStr">
        <is>
          <t>GST Slab</t>
        </is>
      </c>
      <c r="F2" s="7" t="inlineStr">
        <is>
          <t>UOM</t>
        </is>
      </c>
      <c r="G2" s="23" t="n"/>
      <c r="H2" s="23" t="n"/>
      <c r="I2" s="23" t="n"/>
      <c r="J2" s="7" t="inlineStr">
        <is>
          <t>%</t>
        </is>
      </c>
      <c r="K2" s="7" t="inlineStr">
        <is>
          <t>R.Off</t>
        </is>
      </c>
      <c r="L2" s="23" t="n"/>
      <c r="M2" s="23" t="n"/>
      <c r="N2" s="7" t="inlineStr">
        <is>
          <t>IGST</t>
        </is>
      </c>
      <c r="O2" s="7" t="inlineStr">
        <is>
          <t>CGST</t>
        </is>
      </c>
      <c r="P2" s="7" t="inlineStr">
        <is>
          <t>SGST</t>
        </is>
      </c>
      <c r="Q2" s="23" t="n"/>
      <c r="R2" s="23" t="n"/>
      <c r="S2" s="23" t="n"/>
      <c r="T2" s="23" t="n"/>
      <c r="U2" s="23" t="n"/>
      <c r="V2" s="23" t="n"/>
    </row>
    <row r="3" ht="15" customHeight="1">
      <c r="A3" s="8" t="n">
        <v>1</v>
      </c>
      <c r="B3" s="8" t="inlineStr">
        <is>
          <t>8A4286</t>
        </is>
      </c>
      <c r="C3" s="9" t="inlineStr">
        <is>
          <t>SRB</t>
        </is>
      </c>
      <c r="D3" s="8" t="n">
        <v>520841</v>
      </c>
      <c r="E3" s="8" t="inlineStr">
        <is>
          <t>GST 5 %</t>
        </is>
      </c>
      <c r="F3" s="8" t="inlineStr">
        <is>
          <t>Pc(s)</t>
        </is>
      </c>
      <c r="G3" s="10" t="n">
        <v>401</v>
      </c>
      <c r="H3" s="11" t="n"/>
      <c r="I3" s="12" t="n">
        <v>78.45999999999999</v>
      </c>
      <c r="J3" s="12" t="n">
        <v>0</v>
      </c>
      <c r="K3" s="12" t="n">
        <v>0</v>
      </c>
      <c r="L3" s="12" t="n">
        <v>78.45999999999999</v>
      </c>
      <c r="M3" s="12" t="n">
        <v>31462.46</v>
      </c>
      <c r="N3" s="12" t="n">
        <v>1573.12</v>
      </c>
      <c r="O3" s="12" t="n">
        <v>0</v>
      </c>
      <c r="P3" s="12" t="n">
        <v>0</v>
      </c>
      <c r="Q3" s="12" t="n">
        <v>33035.58</v>
      </c>
      <c r="R3" s="12" t="n">
        <v>165</v>
      </c>
      <c r="S3" s="12" t="n">
        <v>90.23</v>
      </c>
      <c r="T3" s="12" t="n">
        <v>102</v>
      </c>
      <c r="U3" s="8" t="n"/>
      <c r="V3" s="8" t="inlineStr">
        <is>
          <t>Edit</t>
        </is>
      </c>
    </row>
    <row r="4" ht="15" customHeight="1">
      <c r="A4" s="13" t="n">
        <v>2</v>
      </c>
      <c r="B4" s="13" t="inlineStr">
        <is>
          <t>8A4287</t>
        </is>
      </c>
      <c r="C4" s="14" t="inlineStr">
        <is>
          <t>4-VNS</t>
        </is>
      </c>
      <c r="D4" s="13" t="n">
        <v>540742</v>
      </c>
      <c r="E4" s="13" t="inlineStr">
        <is>
          <t>GST 5 %</t>
        </is>
      </c>
      <c r="F4" s="13" t="inlineStr">
        <is>
          <t>Mtr</t>
        </is>
      </c>
      <c r="G4" s="15" t="n">
        <v>12.25</v>
      </c>
      <c r="H4" s="15" t="n">
        <v>8</v>
      </c>
      <c r="I4" s="16" t="n">
        <v>475</v>
      </c>
      <c r="J4" s="16" t="n">
        <v>0</v>
      </c>
      <c r="K4" s="16" t="n">
        <v>0</v>
      </c>
      <c r="L4" s="16" t="n">
        <v>475</v>
      </c>
      <c r="M4" s="16" t="n">
        <v>5818.75</v>
      </c>
      <c r="N4" s="16" t="n">
        <v>290.94</v>
      </c>
      <c r="O4" s="16" t="n">
        <v>0</v>
      </c>
      <c r="P4" s="16" t="n">
        <v>0</v>
      </c>
      <c r="Q4" s="16" t="n">
        <v>6109.69</v>
      </c>
      <c r="R4" s="16" t="n">
        <v>880</v>
      </c>
      <c r="S4" s="16" t="n">
        <v>546.25</v>
      </c>
      <c r="T4" s="16" t="n">
        <v>617.5</v>
      </c>
      <c r="U4" s="13" t="n"/>
      <c r="V4" s="13" t="inlineStr">
        <is>
          <t>Edit</t>
        </is>
      </c>
    </row>
    <row r="5" ht="15" customHeight="1">
      <c r="A5" s="8" t="n">
        <v>3</v>
      </c>
      <c r="B5" s="8" t="inlineStr">
        <is>
          <t>8A4288</t>
        </is>
      </c>
      <c r="C5" s="9" t="inlineStr">
        <is>
          <t>4-VNS</t>
        </is>
      </c>
      <c r="D5" s="8" t="n">
        <v>540742</v>
      </c>
      <c r="E5" s="8" t="inlineStr">
        <is>
          <t>GST 5 %</t>
        </is>
      </c>
      <c r="F5" s="8" t="inlineStr">
        <is>
          <t>Mtr</t>
        </is>
      </c>
      <c r="G5" s="10" t="n">
        <v>12.25</v>
      </c>
      <c r="H5" s="10" t="n">
        <v>8</v>
      </c>
      <c r="I5" s="12" t="n">
        <v>475</v>
      </c>
      <c r="J5" s="12" t="n">
        <v>0</v>
      </c>
      <c r="K5" s="12" t="n">
        <v>0</v>
      </c>
      <c r="L5" s="12" t="n">
        <v>475</v>
      </c>
      <c r="M5" s="12" t="n">
        <v>5818.75</v>
      </c>
      <c r="N5" s="12" t="n">
        <v>290.94</v>
      </c>
      <c r="O5" s="12" t="n">
        <v>0</v>
      </c>
      <c r="P5" s="12" t="n">
        <v>0</v>
      </c>
      <c r="Q5" s="12" t="n">
        <v>6109.69</v>
      </c>
      <c r="R5" s="12" t="n">
        <v>880</v>
      </c>
      <c r="S5" s="12" t="n">
        <v>546.25</v>
      </c>
      <c r="T5" s="12" t="n">
        <v>617.5</v>
      </c>
      <c r="U5" s="8" t="n"/>
      <c r="V5" s="8" t="inlineStr">
        <is>
          <t>Edit</t>
        </is>
      </c>
    </row>
    <row r="6" ht="15" customHeight="1">
      <c r="A6" s="13" t="n">
        <v>4</v>
      </c>
      <c r="B6" s="13" t="inlineStr">
        <is>
          <t>8A4289</t>
        </is>
      </c>
      <c r="C6" s="14" t="inlineStr">
        <is>
          <t>4-VNS</t>
        </is>
      </c>
      <c r="D6" s="13" t="n">
        <v>540742</v>
      </c>
      <c r="E6" s="13" t="inlineStr">
        <is>
          <t>GST 5 %</t>
        </is>
      </c>
      <c r="F6" s="13" t="inlineStr">
        <is>
          <t>Mtr</t>
        </is>
      </c>
      <c r="G6" s="15" t="n">
        <v>12.25</v>
      </c>
      <c r="H6" s="15" t="n">
        <v>8</v>
      </c>
      <c r="I6" s="16" t="n">
        <v>475</v>
      </c>
      <c r="J6" s="16" t="n">
        <v>0</v>
      </c>
      <c r="K6" s="16" t="n">
        <v>0</v>
      </c>
      <c r="L6" s="16" t="n">
        <v>475</v>
      </c>
      <c r="M6" s="16" t="n">
        <v>5818.75</v>
      </c>
      <c r="N6" s="16" t="n">
        <v>290.94</v>
      </c>
      <c r="O6" s="16" t="n">
        <v>0</v>
      </c>
      <c r="P6" s="16" t="n">
        <v>0</v>
      </c>
      <c r="Q6" s="16" t="n">
        <v>6109.69</v>
      </c>
      <c r="R6" s="16" t="n">
        <v>880</v>
      </c>
      <c r="S6" s="16" t="n">
        <v>546.25</v>
      </c>
      <c r="T6" s="16" t="n">
        <v>617.5</v>
      </c>
      <c r="U6" s="13" t="n"/>
      <c r="V6" s="13" t="inlineStr">
        <is>
          <t>Edit</t>
        </is>
      </c>
    </row>
    <row r="7" ht="15" customHeight="1">
      <c r="A7" s="8" t="n">
        <v>5</v>
      </c>
      <c r="B7" s="8" t="inlineStr">
        <is>
          <t>8A4290</t>
        </is>
      </c>
      <c r="C7" s="9" t="inlineStr">
        <is>
          <t>4-VNS</t>
        </is>
      </c>
      <c r="D7" s="8" t="n">
        <v>540742</v>
      </c>
      <c r="E7" s="8" t="inlineStr">
        <is>
          <t>GST 5 %</t>
        </is>
      </c>
      <c r="F7" s="8" t="inlineStr">
        <is>
          <t>Mtr</t>
        </is>
      </c>
      <c r="G7" s="10" t="n">
        <v>12.25</v>
      </c>
      <c r="H7" s="10" t="n">
        <v>8</v>
      </c>
      <c r="I7" s="12" t="n">
        <v>475</v>
      </c>
      <c r="J7" s="12" t="n">
        <v>0</v>
      </c>
      <c r="K7" s="12" t="n">
        <v>0</v>
      </c>
      <c r="L7" s="12" t="n">
        <v>475</v>
      </c>
      <c r="M7" s="12" t="n">
        <v>5818.75</v>
      </c>
      <c r="N7" s="12" t="n">
        <v>290.94</v>
      </c>
      <c r="O7" s="12" t="n">
        <v>0</v>
      </c>
      <c r="P7" s="12" t="n">
        <v>0</v>
      </c>
      <c r="Q7" s="12" t="n">
        <v>6109.69</v>
      </c>
      <c r="R7" s="12" t="n">
        <v>880</v>
      </c>
      <c r="S7" s="12" t="n">
        <v>546.25</v>
      </c>
      <c r="T7" s="12" t="n">
        <v>617.5</v>
      </c>
      <c r="U7" s="8" t="n"/>
      <c r="V7" s="8" t="inlineStr">
        <is>
          <t>Edit</t>
        </is>
      </c>
    </row>
    <row r="8" ht="15" customHeight="1">
      <c r="A8" s="13" t="n">
        <v>6</v>
      </c>
      <c r="B8" s="13" t="inlineStr">
        <is>
          <t>8A4291</t>
        </is>
      </c>
      <c r="C8" s="14" t="inlineStr">
        <is>
          <t>4-VNS</t>
        </is>
      </c>
      <c r="D8" s="13" t="n">
        <v>540742</v>
      </c>
      <c r="E8" s="13" t="inlineStr">
        <is>
          <t>GST 5 %</t>
        </is>
      </c>
      <c r="F8" s="13" t="inlineStr">
        <is>
          <t>Mtr</t>
        </is>
      </c>
      <c r="G8" s="15" t="n">
        <v>12.5</v>
      </c>
      <c r="H8" s="15" t="n">
        <v>8</v>
      </c>
      <c r="I8" s="16" t="n">
        <v>475</v>
      </c>
      <c r="J8" s="16" t="n">
        <v>0</v>
      </c>
      <c r="K8" s="16" t="n">
        <v>0</v>
      </c>
      <c r="L8" s="16" t="n">
        <v>475</v>
      </c>
      <c r="M8" s="16" t="n">
        <v>5937.5</v>
      </c>
      <c r="N8" s="16" t="n">
        <v>296.88</v>
      </c>
      <c r="O8" s="16" t="n">
        <v>0</v>
      </c>
      <c r="P8" s="16" t="n">
        <v>0</v>
      </c>
      <c r="Q8" s="16" t="n">
        <v>6234.38</v>
      </c>
      <c r="R8" s="16" t="n">
        <v>880</v>
      </c>
      <c r="S8" s="16" t="n">
        <v>546.25</v>
      </c>
      <c r="T8" s="16" t="n">
        <v>617.5</v>
      </c>
      <c r="U8" s="13" t="n"/>
      <c r="V8" s="13" t="inlineStr">
        <is>
          <t>Edit</t>
        </is>
      </c>
    </row>
    <row r="9" ht="15" customHeight="1">
      <c r="A9" s="8" t="n">
        <v>7</v>
      </c>
      <c r="B9" s="8" t="inlineStr">
        <is>
          <t>8A4292</t>
        </is>
      </c>
      <c r="C9" s="9" t="inlineStr">
        <is>
          <t>4-VNS</t>
        </is>
      </c>
      <c r="D9" s="8" t="n">
        <v>540742</v>
      </c>
      <c r="E9" s="8" t="inlineStr">
        <is>
          <t>GST 5 %</t>
        </is>
      </c>
      <c r="F9" s="8" t="inlineStr">
        <is>
          <t>Mtr</t>
        </is>
      </c>
      <c r="G9" s="10" t="n">
        <v>12.5</v>
      </c>
      <c r="H9" s="10" t="n">
        <v>8</v>
      </c>
      <c r="I9" s="12" t="n">
        <v>475</v>
      </c>
      <c r="J9" s="12" t="n">
        <v>0</v>
      </c>
      <c r="K9" s="12" t="n">
        <v>0</v>
      </c>
      <c r="L9" s="12" t="n">
        <v>475</v>
      </c>
      <c r="M9" s="12" t="n">
        <v>5937.5</v>
      </c>
      <c r="N9" s="12" t="n">
        <v>296.88</v>
      </c>
      <c r="O9" s="12" t="n">
        <v>0</v>
      </c>
      <c r="P9" s="12" t="n">
        <v>0</v>
      </c>
      <c r="Q9" s="12" t="n">
        <v>6234.38</v>
      </c>
      <c r="R9" s="12" t="n">
        <v>880</v>
      </c>
      <c r="S9" s="12" t="n">
        <v>546.25</v>
      </c>
      <c r="T9" s="12" t="n">
        <v>617.5</v>
      </c>
      <c r="U9" s="8" t="n"/>
      <c r="V9" s="8" t="inlineStr">
        <is>
          <t>Edit</t>
        </is>
      </c>
    </row>
    <row r="10" ht="15" customHeight="1">
      <c r="A10" s="13" t="n">
        <v>8</v>
      </c>
      <c r="B10" s="13" t="inlineStr">
        <is>
          <t>8A4293</t>
        </is>
      </c>
      <c r="C10" s="14" t="inlineStr">
        <is>
          <t>4-VNS</t>
        </is>
      </c>
      <c r="D10" s="13" t="n">
        <v>540742</v>
      </c>
      <c r="E10" s="13" t="inlineStr">
        <is>
          <t>GST 5 %</t>
        </is>
      </c>
      <c r="F10" s="13" t="inlineStr">
        <is>
          <t>Mtr</t>
        </is>
      </c>
      <c r="G10" s="15" t="n">
        <v>12.5</v>
      </c>
      <c r="H10" s="15" t="n">
        <v>8</v>
      </c>
      <c r="I10" s="16" t="n">
        <v>475</v>
      </c>
      <c r="J10" s="16" t="n">
        <v>0</v>
      </c>
      <c r="K10" s="16" t="n">
        <v>0</v>
      </c>
      <c r="L10" s="16" t="n">
        <v>475</v>
      </c>
      <c r="M10" s="16" t="n">
        <v>5937.5</v>
      </c>
      <c r="N10" s="16" t="n">
        <v>296.88</v>
      </c>
      <c r="O10" s="16" t="n">
        <v>0</v>
      </c>
      <c r="P10" s="16" t="n">
        <v>0</v>
      </c>
      <c r="Q10" s="16" t="n">
        <v>6234.38</v>
      </c>
      <c r="R10" s="16" t="n">
        <v>880</v>
      </c>
      <c r="S10" s="16" t="n">
        <v>546.25</v>
      </c>
      <c r="T10" s="16" t="n">
        <v>617.5</v>
      </c>
      <c r="U10" s="13" t="n"/>
      <c r="V10" s="13" t="inlineStr">
        <is>
          <t>Edit</t>
        </is>
      </c>
    </row>
    <row r="11" ht="15" customHeight="1">
      <c r="A11" s="8" t="n">
        <v>9</v>
      </c>
      <c r="B11" s="8" t="inlineStr">
        <is>
          <t>8A4294</t>
        </is>
      </c>
      <c r="C11" s="9" t="inlineStr">
        <is>
          <t>4-VNS</t>
        </is>
      </c>
      <c r="D11" s="8" t="n">
        <v>540742</v>
      </c>
      <c r="E11" s="8" t="inlineStr">
        <is>
          <t>GST 5 %</t>
        </is>
      </c>
      <c r="F11" s="8" t="inlineStr">
        <is>
          <t>Mtr</t>
        </is>
      </c>
      <c r="G11" s="10" t="n">
        <v>12</v>
      </c>
      <c r="H11" s="10" t="n">
        <v>8</v>
      </c>
      <c r="I11" s="12" t="n">
        <v>475</v>
      </c>
      <c r="J11" s="12" t="n">
        <v>0</v>
      </c>
      <c r="K11" s="12" t="n">
        <v>0</v>
      </c>
      <c r="L11" s="12" t="n">
        <v>475</v>
      </c>
      <c r="M11" s="12" t="n">
        <v>5700</v>
      </c>
      <c r="N11" s="12" t="n">
        <v>285</v>
      </c>
      <c r="O11" s="12" t="n">
        <v>0</v>
      </c>
      <c r="P11" s="12" t="n">
        <v>0</v>
      </c>
      <c r="Q11" s="12" t="n">
        <v>5985</v>
      </c>
      <c r="R11" s="12" t="n">
        <v>880</v>
      </c>
      <c r="S11" s="12" t="n">
        <v>546.25</v>
      </c>
      <c r="T11" s="12" t="n">
        <v>617.5</v>
      </c>
      <c r="U11" s="8" t="n"/>
      <c r="V11" s="8" t="inlineStr">
        <is>
          <t>Edit</t>
        </is>
      </c>
    </row>
    <row r="12" ht="15" customHeight="1">
      <c r="A12" s="13" t="n">
        <v>10</v>
      </c>
      <c r="B12" s="13" t="inlineStr">
        <is>
          <t>8A4295</t>
        </is>
      </c>
      <c r="C12" s="14" t="inlineStr">
        <is>
          <t>4-F-W BDR</t>
        </is>
      </c>
      <c r="D12" s="13" t="n">
        <v>540710</v>
      </c>
      <c r="E12" s="13" t="inlineStr">
        <is>
          <t>GST 5 %</t>
        </is>
      </c>
      <c r="F12" s="13" t="inlineStr">
        <is>
          <t>Mtr</t>
        </is>
      </c>
      <c r="G12" s="15" t="n">
        <v>12.5</v>
      </c>
      <c r="H12" s="15" t="n">
        <v>5</v>
      </c>
      <c r="I12" s="16" t="n">
        <v>360</v>
      </c>
      <c r="J12" s="16" t="n">
        <v>0</v>
      </c>
      <c r="K12" s="16" t="n">
        <v>0</v>
      </c>
      <c r="L12" s="16" t="n">
        <v>360</v>
      </c>
      <c r="M12" s="16" t="n">
        <v>4500</v>
      </c>
      <c r="N12" s="16" t="n">
        <v>225</v>
      </c>
      <c r="O12" s="16" t="n">
        <v>0</v>
      </c>
      <c r="P12" s="16" t="n">
        <v>0</v>
      </c>
      <c r="Q12" s="16" t="n">
        <v>4725</v>
      </c>
      <c r="R12" s="16" t="n">
        <v>690</v>
      </c>
      <c r="S12" s="16" t="n">
        <v>414</v>
      </c>
      <c r="T12" s="16" t="n">
        <v>468</v>
      </c>
      <c r="U12" s="13" t="n"/>
      <c r="V12" s="13" t="inlineStr">
        <is>
          <t>Edit</t>
        </is>
      </c>
    </row>
    <row r="13" ht="15" customHeight="1">
      <c r="A13" s="8" t="n">
        <v>11</v>
      </c>
      <c r="B13" s="8" t="inlineStr">
        <is>
          <t>8A4296</t>
        </is>
      </c>
      <c r="C13" s="9" t="inlineStr">
        <is>
          <t>4-F-W BDR</t>
        </is>
      </c>
      <c r="D13" s="8" t="n">
        <v>540710</v>
      </c>
      <c r="E13" s="8" t="inlineStr">
        <is>
          <t>GST 5 %</t>
        </is>
      </c>
      <c r="F13" s="8" t="inlineStr">
        <is>
          <t>Mtr</t>
        </is>
      </c>
      <c r="G13" s="10" t="n">
        <v>12.5</v>
      </c>
      <c r="H13" s="10" t="n">
        <v>5</v>
      </c>
      <c r="I13" s="12" t="n">
        <v>360</v>
      </c>
      <c r="J13" s="12" t="n">
        <v>0</v>
      </c>
      <c r="K13" s="12" t="n">
        <v>0</v>
      </c>
      <c r="L13" s="12" t="n">
        <v>360</v>
      </c>
      <c r="M13" s="12" t="n">
        <v>4500</v>
      </c>
      <c r="N13" s="12" t="n">
        <v>225</v>
      </c>
      <c r="O13" s="12" t="n">
        <v>0</v>
      </c>
      <c r="P13" s="12" t="n">
        <v>0</v>
      </c>
      <c r="Q13" s="12" t="n">
        <v>4725</v>
      </c>
      <c r="R13" s="12" t="n">
        <v>690</v>
      </c>
      <c r="S13" s="12" t="n">
        <v>414</v>
      </c>
      <c r="T13" s="12" t="n">
        <v>468</v>
      </c>
      <c r="U13" s="8" t="n"/>
      <c r="V13" s="8" t="inlineStr">
        <is>
          <t>Edit</t>
        </is>
      </c>
    </row>
    <row r="14" ht="15" customHeight="1">
      <c r="A14" s="13" t="n">
        <v>12</v>
      </c>
      <c r="B14" s="13" t="inlineStr">
        <is>
          <t>8A4297</t>
        </is>
      </c>
      <c r="C14" s="14" t="inlineStr">
        <is>
          <t>4-F-W BDR</t>
        </is>
      </c>
      <c r="D14" s="13" t="n">
        <v>540710</v>
      </c>
      <c r="E14" s="13" t="inlineStr">
        <is>
          <t>GST 5 %</t>
        </is>
      </c>
      <c r="F14" s="13" t="inlineStr">
        <is>
          <t>Mtr</t>
        </is>
      </c>
      <c r="G14" s="15" t="n">
        <v>12.5</v>
      </c>
      <c r="H14" s="15" t="n">
        <v>5</v>
      </c>
      <c r="I14" s="16" t="n">
        <v>360</v>
      </c>
      <c r="J14" s="16" t="n">
        <v>0</v>
      </c>
      <c r="K14" s="16" t="n">
        <v>0</v>
      </c>
      <c r="L14" s="16" t="n">
        <v>360</v>
      </c>
      <c r="M14" s="16" t="n">
        <v>4500</v>
      </c>
      <c r="N14" s="16" t="n">
        <v>225</v>
      </c>
      <c r="O14" s="16" t="n">
        <v>0</v>
      </c>
      <c r="P14" s="16" t="n">
        <v>0</v>
      </c>
      <c r="Q14" s="16" t="n">
        <v>4725</v>
      </c>
      <c r="R14" s="16" t="n">
        <v>690</v>
      </c>
      <c r="S14" s="16" t="n">
        <v>414</v>
      </c>
      <c r="T14" s="16" t="n">
        <v>468</v>
      </c>
      <c r="U14" s="13" t="n"/>
      <c r="V14" s="13" t="inlineStr">
        <is>
          <t>Edit</t>
        </is>
      </c>
    </row>
    <row r="15" ht="15" customHeight="1">
      <c r="A15" s="8" t="n">
        <v>13</v>
      </c>
      <c r="B15" s="8" t="inlineStr">
        <is>
          <t>8A4298</t>
        </is>
      </c>
      <c r="C15" s="9" t="inlineStr">
        <is>
          <t>4-F-W BDR</t>
        </is>
      </c>
      <c r="D15" s="8" t="n">
        <v>540710</v>
      </c>
      <c r="E15" s="8" t="inlineStr">
        <is>
          <t>GST 5 %</t>
        </is>
      </c>
      <c r="F15" s="8" t="inlineStr">
        <is>
          <t>Mtr</t>
        </is>
      </c>
      <c r="G15" s="10" t="n">
        <v>12</v>
      </c>
      <c r="H15" s="10" t="n">
        <v>5</v>
      </c>
      <c r="I15" s="12" t="n">
        <v>360</v>
      </c>
      <c r="J15" s="12" t="n">
        <v>0</v>
      </c>
      <c r="K15" s="12" t="n">
        <v>0</v>
      </c>
      <c r="L15" s="12" t="n">
        <v>360</v>
      </c>
      <c r="M15" s="12" t="n">
        <v>4320</v>
      </c>
      <c r="N15" s="12" t="n">
        <v>216</v>
      </c>
      <c r="O15" s="12" t="n">
        <v>0</v>
      </c>
      <c r="P15" s="12" t="n">
        <v>0</v>
      </c>
      <c r="Q15" s="12" t="n">
        <v>4536</v>
      </c>
      <c r="R15" s="12" t="n">
        <v>690</v>
      </c>
      <c r="S15" s="12" t="n">
        <v>414</v>
      </c>
      <c r="T15" s="12" t="n">
        <v>468</v>
      </c>
      <c r="U15" s="8" t="n"/>
      <c r="V15" s="8" t="inlineStr">
        <is>
          <t>Edit</t>
        </is>
      </c>
    </row>
    <row r="16" ht="15" customHeight="1">
      <c r="A16" s="13" t="n">
        <v>14</v>
      </c>
      <c r="B16" s="13" t="inlineStr">
        <is>
          <t>8A4299</t>
        </is>
      </c>
      <c r="C16" s="14" t="inlineStr">
        <is>
          <t>4-F-W BDR</t>
        </is>
      </c>
      <c r="D16" s="13" t="n">
        <v>540710</v>
      </c>
      <c r="E16" s="13" t="inlineStr">
        <is>
          <t>GST 5 %</t>
        </is>
      </c>
      <c r="F16" s="13" t="inlineStr">
        <is>
          <t>Mtr</t>
        </is>
      </c>
      <c r="G16" s="15" t="n">
        <v>12</v>
      </c>
      <c r="H16" s="15" t="n">
        <v>5</v>
      </c>
      <c r="I16" s="16" t="n">
        <v>360</v>
      </c>
      <c r="J16" s="16" t="n">
        <v>0</v>
      </c>
      <c r="K16" s="16" t="n">
        <v>0</v>
      </c>
      <c r="L16" s="16" t="n">
        <v>360</v>
      </c>
      <c r="M16" s="16" t="n">
        <v>4320</v>
      </c>
      <c r="N16" s="16" t="n">
        <v>216</v>
      </c>
      <c r="O16" s="16" t="n">
        <v>0</v>
      </c>
      <c r="P16" s="16" t="n">
        <v>0</v>
      </c>
      <c r="Q16" s="16" t="n">
        <v>4536</v>
      </c>
      <c r="R16" s="16" t="n">
        <v>690</v>
      </c>
      <c r="S16" s="16" t="n">
        <v>414</v>
      </c>
      <c r="T16" s="16" t="n">
        <v>468</v>
      </c>
      <c r="U16" s="13" t="n"/>
      <c r="V16" s="13" t="inlineStr">
        <is>
          <t>Edit</t>
        </is>
      </c>
    </row>
    <row r="17" ht="15" customHeight="1">
      <c r="A17" s="17" t="inlineStr">
        <is>
          <t>Total</t>
        </is>
      </c>
      <c r="B17" s="17" t="n"/>
      <c r="C17" s="18" t="n"/>
      <c r="D17" s="17" t="n"/>
      <c r="E17" s="17" t="n"/>
      <c r="F17" s="17" t="n"/>
      <c r="G17" s="19">
        <f>SUM(G3:G16)</f>
        <v/>
      </c>
      <c r="H17" s="19">
        <f>SUM(H3:H16)</f>
        <v/>
      </c>
      <c r="I17" s="20">
        <f>AVERAGE(I3:I16)</f>
        <v/>
      </c>
      <c r="J17" s="20">
        <f>SUM(J3:J16)</f>
        <v/>
      </c>
      <c r="K17" s="20">
        <f>SUM(K3:K16)</f>
        <v/>
      </c>
      <c r="L17" s="20">
        <f>AVERAGE(L3:L16)</f>
        <v/>
      </c>
      <c r="M17" s="20">
        <f>SUM(M3:M16)</f>
        <v/>
      </c>
      <c r="N17" s="20">
        <f>SUM(N3:N16)</f>
        <v/>
      </c>
      <c r="O17" s="20">
        <f>SUM(O3:O16)</f>
        <v/>
      </c>
      <c r="P17" s="20">
        <f>SUM(P3:P16)</f>
        <v/>
      </c>
      <c r="Q17" s="20">
        <f>SUM(Q3:Q16)</f>
        <v/>
      </c>
      <c r="R17" s="20">
        <f>AVERAGE(R3:R16)</f>
        <v/>
      </c>
      <c r="S17" s="20">
        <f>AVERAGE(S3:S16)</f>
        <v/>
      </c>
      <c r="T17" s="20">
        <f>AVERAGE(T3:T16)</f>
        <v/>
      </c>
      <c r="U17" s="17" t="n"/>
      <c r="V17" s="17" t="n"/>
    </row>
    <row r="19">
      <c r="A19" s="24" t="inlineStr">
        <is>
          <t>Item Summary</t>
        </is>
      </c>
    </row>
    <row r="20" ht="25" customHeight="1">
      <c r="A20" s="25" t="inlineStr">
        <is>
          <t>Sl No</t>
        </is>
      </c>
      <c r="B20" s="25" t="inlineStr">
        <is>
          <t>Bill Sl No.</t>
        </is>
      </c>
      <c r="C20" s="25" t="inlineStr">
        <is>
          <t>Item Name</t>
        </is>
      </c>
      <c r="D20" s="25" t="inlineStr">
        <is>
          <t>QTY</t>
        </is>
      </c>
      <c r="E20" s="25" t="inlineStr">
        <is>
          <t>Before GST Amount</t>
        </is>
      </c>
      <c r="F20" s="25" t="inlineStr">
        <is>
          <t>GST Amount</t>
        </is>
      </c>
      <c r="G20" s="25" t="inlineStr">
        <is>
          <t>Net Amount</t>
        </is>
      </c>
    </row>
    <row r="21" ht="20" customHeight="1">
      <c r="A21" s="26" t="n">
        <v>1</v>
      </c>
      <c r="B21" s="26" t="n">
        <v>1</v>
      </c>
      <c r="C21" s="27" t="inlineStr">
        <is>
          <t>SRB</t>
        </is>
      </c>
      <c r="D21" s="28">
        <f>SUMIF($C$3:$C$16, C21, $G$3:$G$16)</f>
        <v/>
      </c>
      <c r="E21" s="28">
        <f>SUMIF($C$3:$C$16, C21, $M$3:$M$16)</f>
        <v/>
      </c>
      <c r="F21" s="28">
        <f>SUMIF($C$3:$C$16, C21, $N$3:$N$16)+SUMIF($C$3:$C$16, C21, $O$3:$O$16)+SUMIF($C$3:$C$16, C21, $P$3:$P$16)</f>
        <v/>
      </c>
      <c r="G21" s="28">
        <f>SUMIF($C$3:$C$16, C21, $Q$3:$Q$16)</f>
        <v/>
      </c>
    </row>
    <row r="22" ht="20" customHeight="1">
      <c r="A22" s="26" t="n">
        <v>2</v>
      </c>
      <c r="B22" s="26" t="n">
        <v>2</v>
      </c>
      <c r="C22" s="27" t="inlineStr">
        <is>
          <t>4-VNS</t>
        </is>
      </c>
      <c r="D22" s="28">
        <f>SUMIF($C$3:$C$16, C22, $G$3:$G$16)</f>
        <v/>
      </c>
      <c r="E22" s="28">
        <f>SUMIF($C$3:$C$16, C22, $M$3:$M$16)</f>
        <v/>
      </c>
      <c r="F22" s="28">
        <f>SUMIF($C$3:$C$16, C22, $N$3:$N$16)+SUMIF($C$3:$C$16, C22, $O$3:$O$16)+SUMIF($C$3:$C$16, C22, $P$3:$P$16)</f>
        <v/>
      </c>
      <c r="G22" s="28">
        <f>SUMIF($C$3:$C$16, C22, $Q$3:$Q$16)</f>
        <v/>
      </c>
    </row>
    <row r="23" ht="20" customHeight="1">
      <c r="A23" s="26" t="n">
        <v>3</v>
      </c>
      <c r="B23" s="26" t="n">
        <v>3</v>
      </c>
      <c r="C23" s="27" t="inlineStr">
        <is>
          <t>4-F-W BDR</t>
        </is>
      </c>
      <c r="D23" s="28">
        <f>SUMIF($C$3:$C$16, C23, $G$3:$G$16)</f>
        <v/>
      </c>
      <c r="E23" s="28">
        <f>SUMIF($C$3:$C$16, C23, $M$3:$M$16)</f>
        <v/>
      </c>
      <c r="F23" s="28">
        <f>SUMIF($C$3:$C$16, C23, $N$3:$N$16)+SUMIF($C$3:$C$16, C23, $O$3:$O$16)+SUMIF($C$3:$C$16, C23, $P$3:$P$16)</f>
        <v/>
      </c>
      <c r="G23" s="28">
        <f>SUMIF($C$3:$C$16, C23, $Q$3:$Q$16)</f>
        <v/>
      </c>
    </row>
    <row r="24" ht="22" customHeight="1">
      <c r="A24" s="29" t="inlineStr">
        <is>
          <t>Total</t>
        </is>
      </c>
      <c r="B24" s="30" t="n"/>
      <c r="C24" s="30" t="n"/>
      <c r="D24" s="31">
        <f>SUM(D21:D23)</f>
        <v/>
      </c>
      <c r="E24" s="31">
        <f>SUM(E21:E23)</f>
        <v/>
      </c>
      <c r="F24" s="31">
        <f>SUM(F21:F23)</f>
        <v/>
      </c>
      <c r="G24" s="31">
        <f>SUM(G21:G23)</f>
        <v/>
      </c>
    </row>
  </sheetData>
  <autoFilter ref="A1:V17"/>
  <mergeCells count="15">
    <mergeCell ref="U1:U2"/>
    <mergeCell ref="T1:T2"/>
    <mergeCell ref="M1:M2"/>
    <mergeCell ref="Q1:Q2"/>
    <mergeCell ref="J1:K1"/>
    <mergeCell ref="N1:P1"/>
    <mergeCell ref="G1:G2"/>
    <mergeCell ref="V1:V2"/>
    <mergeCell ref="B1:F1"/>
    <mergeCell ref="I1:I2"/>
    <mergeCell ref="L1:L2"/>
    <mergeCell ref="A1:A2"/>
    <mergeCell ref="H1:H2"/>
    <mergeCell ref="S1:S2"/>
    <mergeCell ref="R1:R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2026-09-05T12:00:15Z</dcterms:created>
  <dcterms:modified xmlns:dcterms="http://purl.org/dc/terms/" xmlns:xsi="http://www.w3.org/2001/XMLSchema-instance" xsi:type="dcterms:W3CDTF">2026-09-09T12:29:02Z</dcterms:modified>
  <cp:lastModifiedBy>Admin</cp:lastModifiedBy>
  <cp:revision>0</cp:revision>
</cp:coreProperties>
</file>