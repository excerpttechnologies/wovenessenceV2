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purchase excels\"/>
    </mc:Choice>
  </mc:AlternateContent>
  <bookViews>
    <workbookView xWindow="0" yWindow="0" windowWidth="23040" windowHeight="9264" tabRatio="500"/>
  </bookViews>
  <sheets>
    <sheet name="Purchase Invoice Details" sheetId="1" r:id="rId1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14" i="1" l="1"/>
  <c r="P14" i="1"/>
  <c r="O14" i="1"/>
  <c r="N14" i="1"/>
  <c r="M14" i="1"/>
  <c r="G14" i="1"/>
</calcChain>
</file>

<file path=xl/sharedStrings.xml><?xml version="1.0" encoding="utf-8"?>
<sst xmlns="http://schemas.openxmlformats.org/spreadsheetml/2006/main" count="83" uniqueCount="45">
  <si>
    <t>Sl No</t>
  </si>
  <si>
    <t>Item</t>
  </si>
  <si>
    <t>QTY/MTR</t>
  </si>
  <si>
    <t>No. of Cuts</t>
  </si>
  <si>
    <t>Purchase Rate</t>
  </si>
  <si>
    <t>Discount</t>
  </si>
  <si>
    <t>Final Rate</t>
  </si>
  <si>
    <t>Before Tax</t>
  </si>
  <si>
    <t>GST Amount</t>
  </si>
  <si>
    <t>Net Amount</t>
  </si>
  <si>
    <t>RSP</t>
  </si>
  <si>
    <t>WSP</t>
  </si>
  <si>
    <t>DP</t>
  </si>
  <si>
    <t>Variant</t>
  </si>
  <si>
    <t>Action</t>
  </si>
  <si>
    <t>Code</t>
  </si>
  <si>
    <t>Name</t>
  </si>
  <si>
    <t>HSN</t>
  </si>
  <si>
    <t>GST Slab</t>
  </si>
  <si>
    <t>UOM</t>
  </si>
  <si>
    <t>%</t>
  </si>
  <si>
    <t>R.Off</t>
  </si>
  <si>
    <t>IGST</t>
  </si>
  <si>
    <t>CGST</t>
  </si>
  <si>
    <t>SGST</t>
  </si>
  <si>
    <t>8A2260</t>
  </si>
  <si>
    <t>15-S-PCRP</t>
  </si>
  <si>
    <t>GST 5%</t>
  </si>
  <si>
    <t>Pc(s)</t>
  </si>
  <si>
    <t>8A2261</t>
  </si>
  <si>
    <t>8A2262</t>
  </si>
  <si>
    <t>8A2263</t>
  </si>
  <si>
    <t>8A2264</t>
  </si>
  <si>
    <t>8A2265</t>
  </si>
  <si>
    <t>8A2266</t>
  </si>
  <si>
    <t>8A2267</t>
  </si>
  <si>
    <t>8A2268</t>
  </si>
  <si>
    <t>8A2269</t>
  </si>
  <si>
    <t>8A2270</t>
  </si>
  <si>
    <t>Total</t>
  </si>
  <si>
    <t>Item Summary</t>
  </si>
  <si>
    <t>Bill Sl No.</t>
  </si>
  <si>
    <t>Item Name</t>
  </si>
  <si>
    <t>QTY</t>
  </si>
  <si>
    <t>Before GST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</si>
</sst>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name val="Calibri"/>
      <family val="2"/>
      <charset val="1"/>
    </font>
    <font>
      <b/>
      <sz val="12"/>
      <color rgb="FF1F4E7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366092"/>
        <bgColor rgb="FF1F4E79"/>
      </patternFill>
    </fill>
    <fill>
      <patternFill patternType="solid">
        <fgColor rgb="FFF2F5F9"/>
        <bgColor rgb="FFFFFFFF"/>
      </patternFill>
    </fill>
    <fill>
      <patternFill patternType="solid">
        <fgColor rgb="FFFFFFFF"/>
        <bgColor rgb="FFF2F5F9"/>
      </patternFill>
    </fill>
    <fill>
      <patternFill patternType="solid">
        <fgColor theme="4"/>
        <bgColor rgb="FF366092"/>
      </patternFill>
    </fill>
    <fill>
      <patternFill patternType="solid">
        <fgColor rgb="FF1F4E79"/>
        <bgColor rgb="FF366092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ont="1" applyFill="1" applyBorder="1" applyAlignment="1">
      <alignment horizontal="left" vertical="center"/>
    </xf>
    <xf numFmtId="1" fontId="0" fillId="3" borderId="1" xfId="0" applyNumberFormat="1" applyFill="1" applyBorder="1" applyAlignment="1">
      <alignment horizontal="center" vertical="center"/>
    </xf>
    <xf numFmtId="4" fontId="0" fillId="3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ont="1" applyFill="1" applyBorder="1" applyAlignment="1">
      <alignment horizontal="left" vertical="center"/>
    </xf>
    <xf numFmtId="1" fontId="0" fillId="4" borderId="1" xfId="0" applyNumberFormat="1" applyFill="1" applyBorder="1" applyAlignment="1">
      <alignment horizontal="center" vertical="center"/>
    </xf>
    <xf numFmtId="4" fontId="0" fillId="4" borderId="1" xfId="0" applyNumberFormat="1" applyFill="1" applyBorder="1" applyAlignment="1">
      <alignment horizontal="right" vertical="center"/>
    </xf>
    <xf numFmtId="0" fontId="2" fillId="5" borderId="2" xfId="0" applyFont="1" applyFill="1" applyBorder="1" applyAlignment="1">
      <alignment horizontal="left" vertical="center"/>
    </xf>
    <xf numFmtId="0" fontId="2" fillId="5" borderId="2" xfId="0" applyFont="1" applyFill="1" applyBorder="1"/>
    <xf numFmtId="4" fontId="2" fillId="5" borderId="2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6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4" fontId="5" fillId="0" borderId="3" xfId="0" applyNumberFormat="1" applyFont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4F81BD"/>
      <rgbColor rgb="FF9999FF"/>
      <rgbColor rgb="FF993366"/>
      <rgbColor rgb="FFF2F5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"/>
  <sheetViews>
    <sheetView tabSelected="1" topLeftCell="A4" zoomScaleNormal="100" workbookViewId="0">
      <selection activeCell="W14" sqref="W14"/>
    </sheetView>
  </sheetViews>
  <sheetFormatPr defaultColWidth="8.6640625" defaultRowHeight="14.4" x14ac:dyDescent="0.3"/>
  <cols>
    <col min="1" max="1" width="8" customWidth="1"/>
    <col min="2" max="2" width="12" customWidth="1"/>
    <col min="3" max="3" width="18" customWidth="1"/>
    <col min="4" max="5" width="12" customWidth="1"/>
    <col min="6" max="6" width="14" customWidth="1"/>
    <col min="7" max="7" width="16" customWidth="1"/>
    <col min="8" max="8" width="15" customWidth="1"/>
    <col min="9" max="9" width="17" customWidth="1"/>
    <col min="10" max="10" width="12" customWidth="1"/>
    <col min="11" max="11" width="11" customWidth="1"/>
    <col min="12" max="12" width="14" customWidth="1"/>
    <col min="13" max="17" width="16" customWidth="1"/>
    <col min="18" max="20" width="12" customWidth="1"/>
    <col min="21" max="22" width="11" customWidth="1"/>
  </cols>
  <sheetData>
    <row r="1" spans="1:22" ht="21.75" customHeight="1" x14ac:dyDescent="0.3">
      <c r="A1" s="1" t="s">
        <v>0</v>
      </c>
      <c r="B1" s="1" t="s">
        <v>1</v>
      </c>
      <c r="C1" s="1"/>
      <c r="D1" s="1"/>
      <c r="E1" s="1"/>
      <c r="F1" s="1"/>
      <c r="G1" s="1" t="s">
        <v>2</v>
      </c>
      <c r="H1" s="1" t="s">
        <v>3</v>
      </c>
      <c r="I1" s="1" t="s">
        <v>4</v>
      </c>
      <c r="J1" s="1" t="s">
        <v>5</v>
      </c>
      <c r="K1" s="1"/>
      <c r="L1" s="1" t="s">
        <v>6</v>
      </c>
      <c r="M1" s="1" t="s">
        <v>7</v>
      </c>
      <c r="N1" s="1" t="s">
        <v>8</v>
      </c>
      <c r="O1" s="1"/>
      <c r="P1" s="1"/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</row>
    <row r="2" spans="1:22" ht="21.75" customHeight="1" x14ac:dyDescent="0.3">
      <c r="A2" s="1"/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1"/>
      <c r="H2" s="1"/>
      <c r="I2" s="1"/>
      <c r="J2" s="2" t="s">
        <v>20</v>
      </c>
      <c r="K2" s="2" t="s">
        <v>21</v>
      </c>
      <c r="L2" s="1"/>
      <c r="M2" s="1"/>
      <c r="N2" s="2" t="s">
        <v>22</v>
      </c>
      <c r="O2" s="2" t="s">
        <v>23</v>
      </c>
      <c r="P2" s="2" t="s">
        <v>24</v>
      </c>
      <c r="Q2" s="1"/>
      <c r="R2" s="1"/>
      <c r="S2" s="1"/>
      <c r="T2" s="1"/>
      <c r="U2" s="1"/>
      <c r="V2" s="1"/>
    </row>
    <row r="3" spans="1:22" ht="19.5" customHeight="1" x14ac:dyDescent="0.3">
      <c r="A3" s="3">
        <v>1</v>
      </c>
      <c r="B3" s="3" t="s">
        <v>25</v>
      </c>
      <c r="C3" s="4" t="s">
        <v>26</v>
      </c>
      <c r="D3" s="5">
        <v>50072010</v>
      </c>
      <c r="E3" s="3" t="s">
        <v>27</v>
      </c>
      <c r="F3" s="3" t="s">
        <v>28</v>
      </c>
      <c r="G3" s="6">
        <v>1</v>
      </c>
      <c r="H3" s="3"/>
      <c r="I3" s="6">
        <v>8460</v>
      </c>
      <c r="J3" s="6">
        <v>0</v>
      </c>
      <c r="K3" s="6">
        <v>0</v>
      </c>
      <c r="L3" s="6">
        <v>8460</v>
      </c>
      <c r="M3" s="6">
        <v>8460</v>
      </c>
      <c r="N3" s="6">
        <v>0</v>
      </c>
      <c r="O3" s="6">
        <v>211.5</v>
      </c>
      <c r="P3" s="6">
        <v>211.5</v>
      </c>
      <c r="Q3" s="6">
        <v>8883</v>
      </c>
      <c r="R3" s="6">
        <v>13960</v>
      </c>
      <c r="S3" s="6">
        <v>9729</v>
      </c>
      <c r="T3" s="6">
        <v>10998</v>
      </c>
      <c r="U3" s="4"/>
      <c r="V3" s="4"/>
    </row>
    <row r="4" spans="1:22" ht="19.5" customHeight="1" x14ac:dyDescent="0.3">
      <c r="A4" s="7">
        <v>2</v>
      </c>
      <c r="B4" s="7" t="s">
        <v>29</v>
      </c>
      <c r="C4" s="8" t="s">
        <v>26</v>
      </c>
      <c r="D4" s="9">
        <v>50072010</v>
      </c>
      <c r="E4" s="7" t="s">
        <v>27</v>
      </c>
      <c r="F4" s="7" t="s">
        <v>28</v>
      </c>
      <c r="G4" s="10">
        <v>1</v>
      </c>
      <c r="H4" s="7"/>
      <c r="I4" s="10">
        <v>8460</v>
      </c>
      <c r="J4" s="10">
        <v>0</v>
      </c>
      <c r="K4" s="10">
        <v>0</v>
      </c>
      <c r="L4" s="10">
        <v>8460</v>
      </c>
      <c r="M4" s="10">
        <v>8460</v>
      </c>
      <c r="N4" s="10">
        <v>0</v>
      </c>
      <c r="O4" s="10">
        <v>211.5</v>
      </c>
      <c r="P4" s="10">
        <v>211.5</v>
      </c>
      <c r="Q4" s="10">
        <v>8883</v>
      </c>
      <c r="R4" s="10">
        <v>13960</v>
      </c>
      <c r="S4" s="10">
        <v>9729</v>
      </c>
      <c r="T4" s="10">
        <v>10998</v>
      </c>
      <c r="U4" s="8"/>
      <c r="V4" s="8"/>
    </row>
    <row r="5" spans="1:22" ht="19.5" customHeight="1" x14ac:dyDescent="0.3">
      <c r="A5" s="3">
        <v>3</v>
      </c>
      <c r="B5" s="3" t="s">
        <v>30</v>
      </c>
      <c r="C5" s="4" t="s">
        <v>26</v>
      </c>
      <c r="D5" s="5">
        <v>50072010</v>
      </c>
      <c r="E5" s="3" t="s">
        <v>27</v>
      </c>
      <c r="F5" s="3" t="s">
        <v>28</v>
      </c>
      <c r="G5" s="6">
        <v>1</v>
      </c>
      <c r="H5" s="3"/>
      <c r="I5" s="6">
        <v>8460</v>
      </c>
      <c r="J5" s="6">
        <v>0</v>
      </c>
      <c r="K5" s="6">
        <v>0</v>
      </c>
      <c r="L5" s="6">
        <v>8460</v>
      </c>
      <c r="M5" s="6">
        <v>8460</v>
      </c>
      <c r="N5" s="6">
        <v>0</v>
      </c>
      <c r="O5" s="6">
        <v>211.5</v>
      </c>
      <c r="P5" s="6">
        <v>211.5</v>
      </c>
      <c r="Q5" s="6">
        <v>8883</v>
      </c>
      <c r="R5" s="6">
        <v>13960</v>
      </c>
      <c r="S5" s="6">
        <v>9729</v>
      </c>
      <c r="T5" s="6">
        <v>10998</v>
      </c>
      <c r="U5" s="4"/>
      <c r="V5" s="4"/>
    </row>
    <row r="6" spans="1:22" ht="19.5" customHeight="1" x14ac:dyDescent="0.3">
      <c r="A6" s="7">
        <v>4</v>
      </c>
      <c r="B6" s="7" t="s">
        <v>31</v>
      </c>
      <c r="C6" s="8" t="s">
        <v>26</v>
      </c>
      <c r="D6" s="9">
        <v>50072010</v>
      </c>
      <c r="E6" s="7" t="s">
        <v>27</v>
      </c>
      <c r="F6" s="7" t="s">
        <v>28</v>
      </c>
      <c r="G6" s="10">
        <v>1</v>
      </c>
      <c r="H6" s="7"/>
      <c r="I6" s="10">
        <v>9730</v>
      </c>
      <c r="J6" s="10">
        <v>0</v>
      </c>
      <c r="K6" s="10">
        <v>0</v>
      </c>
      <c r="L6" s="10">
        <v>9730</v>
      </c>
      <c r="M6" s="10">
        <v>9730</v>
      </c>
      <c r="N6" s="10">
        <v>0</v>
      </c>
      <c r="O6" s="10">
        <v>243.25</v>
      </c>
      <c r="P6" s="10">
        <v>243.25</v>
      </c>
      <c r="Q6" s="10">
        <v>10216.5</v>
      </c>
      <c r="R6" s="10">
        <v>16180</v>
      </c>
      <c r="S6" s="10">
        <v>11189.5</v>
      </c>
      <c r="T6" s="10">
        <v>12649</v>
      </c>
      <c r="U6" s="8"/>
      <c r="V6" s="8"/>
    </row>
    <row r="7" spans="1:22" ht="19.5" customHeight="1" x14ac:dyDescent="0.3">
      <c r="A7" s="3">
        <v>5</v>
      </c>
      <c r="B7" s="3" t="s">
        <v>32</v>
      </c>
      <c r="C7" s="4" t="s">
        <v>26</v>
      </c>
      <c r="D7" s="5">
        <v>50072010</v>
      </c>
      <c r="E7" s="3" t="s">
        <v>27</v>
      </c>
      <c r="F7" s="3" t="s">
        <v>28</v>
      </c>
      <c r="G7" s="6">
        <v>1</v>
      </c>
      <c r="H7" s="3"/>
      <c r="I7" s="6">
        <v>9730</v>
      </c>
      <c r="J7" s="6">
        <v>0</v>
      </c>
      <c r="K7" s="6">
        <v>0</v>
      </c>
      <c r="L7" s="6">
        <v>9730</v>
      </c>
      <c r="M7" s="6">
        <v>9730</v>
      </c>
      <c r="N7" s="6">
        <v>0</v>
      </c>
      <c r="O7" s="6">
        <v>243.25</v>
      </c>
      <c r="P7" s="6">
        <v>243.25</v>
      </c>
      <c r="Q7" s="6">
        <v>10216.5</v>
      </c>
      <c r="R7" s="6">
        <v>16180</v>
      </c>
      <c r="S7" s="6">
        <v>11189.5</v>
      </c>
      <c r="T7" s="6">
        <v>12649</v>
      </c>
      <c r="U7" s="4"/>
      <c r="V7" s="4"/>
    </row>
    <row r="8" spans="1:22" ht="19.5" customHeight="1" x14ac:dyDescent="0.3">
      <c r="A8" s="7">
        <v>6</v>
      </c>
      <c r="B8" s="7" t="s">
        <v>33</v>
      </c>
      <c r="C8" s="8" t="s">
        <v>26</v>
      </c>
      <c r="D8" s="9">
        <v>50072010</v>
      </c>
      <c r="E8" s="7" t="s">
        <v>27</v>
      </c>
      <c r="F8" s="7" t="s">
        <v>28</v>
      </c>
      <c r="G8" s="10">
        <v>1</v>
      </c>
      <c r="H8" s="7"/>
      <c r="I8" s="10">
        <v>9730</v>
      </c>
      <c r="J8" s="10">
        <v>0</v>
      </c>
      <c r="K8" s="10">
        <v>0</v>
      </c>
      <c r="L8" s="10">
        <v>9730</v>
      </c>
      <c r="M8" s="10">
        <v>9730</v>
      </c>
      <c r="N8" s="10">
        <v>0</v>
      </c>
      <c r="O8" s="10">
        <v>243.25</v>
      </c>
      <c r="P8" s="10">
        <v>243.25</v>
      </c>
      <c r="Q8" s="10">
        <v>10216.5</v>
      </c>
      <c r="R8" s="10">
        <v>16180</v>
      </c>
      <c r="S8" s="10">
        <v>11189.5</v>
      </c>
      <c r="T8" s="10">
        <v>12649</v>
      </c>
      <c r="U8" s="8"/>
      <c r="V8" s="8"/>
    </row>
    <row r="9" spans="1:22" ht="19.5" customHeight="1" x14ac:dyDescent="0.3">
      <c r="A9" s="3">
        <v>7</v>
      </c>
      <c r="B9" s="3" t="s">
        <v>34</v>
      </c>
      <c r="C9" s="4" t="s">
        <v>26</v>
      </c>
      <c r="D9" s="5">
        <v>50072010</v>
      </c>
      <c r="E9" s="3" t="s">
        <v>27</v>
      </c>
      <c r="F9" s="3" t="s">
        <v>28</v>
      </c>
      <c r="G9" s="6">
        <v>1</v>
      </c>
      <c r="H9" s="3"/>
      <c r="I9" s="6">
        <v>10145</v>
      </c>
      <c r="J9" s="6">
        <v>0</v>
      </c>
      <c r="K9" s="6">
        <v>0</v>
      </c>
      <c r="L9" s="6">
        <v>10145</v>
      </c>
      <c r="M9" s="6">
        <v>10145</v>
      </c>
      <c r="N9" s="6">
        <v>0</v>
      </c>
      <c r="O9" s="6">
        <v>253.63</v>
      </c>
      <c r="P9" s="6">
        <v>253.63</v>
      </c>
      <c r="Q9" s="6">
        <v>10652.25</v>
      </c>
      <c r="R9" s="6">
        <v>16780</v>
      </c>
      <c r="S9" s="6">
        <v>11666.75</v>
      </c>
      <c r="T9" s="6">
        <v>13188.5</v>
      </c>
      <c r="U9" s="4"/>
      <c r="V9" s="4"/>
    </row>
    <row r="10" spans="1:22" ht="19.5" customHeight="1" x14ac:dyDescent="0.3">
      <c r="A10" s="7">
        <v>8</v>
      </c>
      <c r="B10" s="7" t="s">
        <v>35</v>
      </c>
      <c r="C10" s="8" t="s">
        <v>26</v>
      </c>
      <c r="D10" s="9">
        <v>50072010</v>
      </c>
      <c r="E10" s="7" t="s">
        <v>27</v>
      </c>
      <c r="F10" s="7" t="s">
        <v>28</v>
      </c>
      <c r="G10" s="10">
        <v>1</v>
      </c>
      <c r="H10" s="7"/>
      <c r="I10" s="10">
        <v>10145</v>
      </c>
      <c r="J10" s="10">
        <v>0</v>
      </c>
      <c r="K10" s="10">
        <v>0</v>
      </c>
      <c r="L10" s="10">
        <v>10145</v>
      </c>
      <c r="M10" s="10">
        <v>10145</v>
      </c>
      <c r="N10" s="10">
        <v>0</v>
      </c>
      <c r="O10" s="10">
        <v>253.63</v>
      </c>
      <c r="P10" s="10">
        <v>253.63</v>
      </c>
      <c r="Q10" s="10">
        <v>10652.25</v>
      </c>
      <c r="R10" s="10">
        <v>16780</v>
      </c>
      <c r="S10" s="10">
        <v>11666.75</v>
      </c>
      <c r="T10" s="10">
        <v>13188.5</v>
      </c>
      <c r="U10" s="8"/>
      <c r="V10" s="8"/>
    </row>
    <row r="11" spans="1:22" ht="19.5" customHeight="1" x14ac:dyDescent="0.3">
      <c r="A11" s="3">
        <v>9</v>
      </c>
      <c r="B11" s="3" t="s">
        <v>36</v>
      </c>
      <c r="C11" s="4" t="s">
        <v>26</v>
      </c>
      <c r="D11" s="5">
        <v>50072010</v>
      </c>
      <c r="E11" s="3" t="s">
        <v>27</v>
      </c>
      <c r="F11" s="3" t="s">
        <v>28</v>
      </c>
      <c r="G11" s="6">
        <v>1</v>
      </c>
      <c r="H11" s="3"/>
      <c r="I11" s="6">
        <v>10145</v>
      </c>
      <c r="J11" s="6">
        <v>0</v>
      </c>
      <c r="K11" s="6">
        <v>0</v>
      </c>
      <c r="L11" s="6">
        <v>10145</v>
      </c>
      <c r="M11" s="6">
        <v>10145</v>
      </c>
      <c r="N11" s="6">
        <v>0</v>
      </c>
      <c r="O11" s="6">
        <v>253.63</v>
      </c>
      <c r="P11" s="6">
        <v>253.63</v>
      </c>
      <c r="Q11" s="6">
        <v>10652.25</v>
      </c>
      <c r="R11" s="6">
        <v>16780</v>
      </c>
      <c r="S11" s="6">
        <v>11666.75</v>
      </c>
      <c r="T11" s="6">
        <v>13188.5</v>
      </c>
      <c r="U11" s="4"/>
      <c r="V11" s="4"/>
    </row>
    <row r="12" spans="1:22" ht="19.5" customHeight="1" x14ac:dyDescent="0.3">
      <c r="A12" s="7">
        <v>10</v>
      </c>
      <c r="B12" s="7" t="s">
        <v>37</v>
      </c>
      <c r="C12" s="8" t="s">
        <v>26</v>
      </c>
      <c r="D12" s="9">
        <v>50072010</v>
      </c>
      <c r="E12" s="7" t="s">
        <v>27</v>
      </c>
      <c r="F12" s="7" t="s">
        <v>28</v>
      </c>
      <c r="G12" s="10">
        <v>1</v>
      </c>
      <c r="H12" s="7"/>
      <c r="I12" s="10">
        <v>6740</v>
      </c>
      <c r="J12" s="10">
        <v>0</v>
      </c>
      <c r="K12" s="10">
        <v>0</v>
      </c>
      <c r="L12" s="10">
        <v>6740</v>
      </c>
      <c r="M12" s="10">
        <v>6740</v>
      </c>
      <c r="N12" s="10">
        <v>0</v>
      </c>
      <c r="O12" s="10">
        <v>168.5</v>
      </c>
      <c r="P12" s="10">
        <v>168.5</v>
      </c>
      <c r="Q12" s="10">
        <v>7077</v>
      </c>
      <c r="R12" s="10">
        <v>11180</v>
      </c>
      <c r="S12" s="10">
        <v>7751</v>
      </c>
      <c r="T12" s="10">
        <v>8762</v>
      </c>
      <c r="U12" s="8"/>
      <c r="V12" s="8"/>
    </row>
    <row r="13" spans="1:22" ht="19.5" customHeight="1" x14ac:dyDescent="0.3">
      <c r="A13" s="3">
        <v>11</v>
      </c>
      <c r="B13" s="3" t="s">
        <v>38</v>
      </c>
      <c r="C13" s="4" t="s">
        <v>26</v>
      </c>
      <c r="D13" s="5">
        <v>50072010</v>
      </c>
      <c r="E13" s="3" t="s">
        <v>27</v>
      </c>
      <c r="F13" s="3" t="s">
        <v>28</v>
      </c>
      <c r="G13" s="6">
        <v>1</v>
      </c>
      <c r="H13" s="3"/>
      <c r="I13" s="6">
        <v>6740</v>
      </c>
      <c r="J13" s="6">
        <v>0</v>
      </c>
      <c r="K13" s="6">
        <v>0</v>
      </c>
      <c r="L13" s="6">
        <v>6740</v>
      </c>
      <c r="M13" s="6">
        <v>6740</v>
      </c>
      <c r="N13" s="6">
        <v>0</v>
      </c>
      <c r="O13" s="6">
        <v>168.5</v>
      </c>
      <c r="P13" s="6">
        <v>168.5</v>
      </c>
      <c r="Q13" s="6">
        <v>7077</v>
      </c>
      <c r="R13" s="6">
        <v>11180</v>
      </c>
      <c r="S13" s="6">
        <v>7751</v>
      </c>
      <c r="T13" s="6">
        <v>8762</v>
      </c>
      <c r="U13" s="4"/>
      <c r="V13" s="4"/>
    </row>
    <row r="14" spans="1:22" ht="19.5" customHeight="1" x14ac:dyDescent="0.3">
      <c r="A14" s="11" t="s">
        <v>39</v>
      </c>
      <c r="B14" s="12"/>
      <c r="C14" s="12"/>
      <c r="D14" s="12"/>
      <c r="E14" s="12"/>
      <c r="F14" s="12"/>
      <c r="G14" s="13">
        <f>SUM(G3:G13)</f>
        <v>11</v>
      </c>
      <c r="H14" s="12"/>
      <c r="I14" s="12"/>
      <c r="J14" s="12"/>
      <c r="K14" s="12"/>
      <c r="L14" s="12"/>
      <c r="M14" s="13">
        <f>SUM(M3:M13)</f>
        <v>98485</v>
      </c>
      <c r="N14" s="13">
        <f>SUM(N3:N13)</f>
        <v>0</v>
      </c>
      <c r="O14" s="13">
        <f>SUM(O3:O13)</f>
        <v>2462.1400000000003</v>
      </c>
      <c r="P14" s="13">
        <f>SUM(P3:P13)</f>
        <v>2462.1400000000003</v>
      </c>
      <c r="Q14" s="13">
        <f>SUM(Q3:Q13)</f>
        <v>103409.25</v>
      </c>
      <c r="R14" s="12"/>
      <c r="S14" s="12"/>
      <c r="T14" s="12"/>
      <c r="U14" s="12"/>
      <c r="V14" s="12"/>
    </row>
    <row r="17" spans="1:7" ht="15.6" x14ac:dyDescent="0.3">
      <c r="A17" s="14" t="s">
        <v>40</v>
      </c>
    </row>
    <row r="18" spans="1:7" ht="30" customHeight="1" x14ac:dyDescent="0.3">
      <c r="A18" s="15" t="s">
        <v>0</v>
      </c>
      <c r="B18" s="15" t="s">
        <v>41</v>
      </c>
      <c r="C18" s="15" t="s">
        <v>42</v>
      </c>
      <c r="D18" s="15" t="s">
        <v>43</v>
      </c>
      <c r="E18" s="15" t="s">
        <v>44</v>
      </c>
      <c r="F18" s="15" t="s">
        <v>8</v>
      </c>
      <c r="G18" s="15" t="s">
        <v>9</v>
      </c>
    </row>
    <row r="19" spans="1:7" ht="18" customHeight="1" x14ac:dyDescent="0.3">
      <c r="A19" s="16">
        <v>1</v>
      </c>
      <c r="B19" s="16">
        <v>1</v>
      </c>
      <c r="C19" s="17" t="s">
        <v>26</v>
      </c>
      <c r="D19" s="18">
        <v>3</v>
      </c>
      <c r="E19" s="18">
        <v>25380</v>
      </c>
      <c r="F19" s="18">
        <v>1269</v>
      </c>
      <c r="G19" s="18">
        <v>26649</v>
      </c>
    </row>
    <row r="20" spans="1:7" ht="18" customHeight="1" x14ac:dyDescent="0.3">
      <c r="A20" s="16">
        <v>2</v>
      </c>
      <c r="B20" s="16">
        <v>2</v>
      </c>
      <c r="C20" s="17" t="s">
        <v>26</v>
      </c>
      <c r="D20" s="18">
        <v>3</v>
      </c>
      <c r="E20" s="18">
        <v>29190</v>
      </c>
      <c r="F20" s="18">
        <v>1459.5</v>
      </c>
      <c r="G20" s="18">
        <v>30649.5</v>
      </c>
    </row>
    <row r="21" spans="1:7" ht="18" customHeight="1" x14ac:dyDescent="0.3">
      <c r="A21" s="16">
        <v>3</v>
      </c>
      <c r="B21" s="16">
        <v>3</v>
      </c>
      <c r="C21" s="17" t="s">
        <v>26</v>
      </c>
      <c r="D21" s="18">
        <v>3</v>
      </c>
      <c r="E21" s="18">
        <v>30435</v>
      </c>
      <c r="F21" s="18">
        <v>1521.75</v>
      </c>
      <c r="G21" s="18">
        <v>31956.75</v>
      </c>
    </row>
    <row r="22" spans="1:7" ht="18" customHeight="1" x14ac:dyDescent="0.3">
      <c r="A22" s="16">
        <v>4</v>
      </c>
      <c r="B22" s="16">
        <v>4</v>
      </c>
      <c r="C22" s="17" t="s">
        <v>26</v>
      </c>
      <c r="D22" s="18">
        <v>2</v>
      </c>
      <c r="E22" s="18">
        <v>13480</v>
      </c>
      <c r="F22" s="18">
        <v>674</v>
      </c>
      <c r="G22" s="18">
        <v>14154</v>
      </c>
    </row>
    <row r="23" spans="1:7" ht="18" customHeight="1" x14ac:dyDescent="0.3">
      <c r="A23" s="19" t="s">
        <v>39</v>
      </c>
      <c r="B23" s="19"/>
      <c r="C23" s="19"/>
      <c r="D23" s="19">
        <v>11</v>
      </c>
      <c r="E23" s="19">
        <v>98485</v>
      </c>
      <c r="F23" s="19">
        <v>4924.25</v>
      </c>
      <c r="G23" s="19">
        <v>103409.25</v>
      </c>
    </row>
  </sheetData>
  <mergeCells count="15">
    <mergeCell ref="R1:R2"/>
    <mergeCell ref="S1:S2"/>
    <mergeCell ref="T1:T2"/>
    <mergeCell ref="U1:U2"/>
    <mergeCell ref="V1:V2"/>
    <mergeCell ref="J1:K1"/>
    <mergeCell ref="L1:L2"/>
    <mergeCell ref="M1:M2"/>
    <mergeCell ref="N1:P1"/>
    <mergeCell ref="Q1:Q2"/>
    <mergeCell ref="A1:A2"/>
    <mergeCell ref="B1:F1"/>
    <mergeCell ref="G1:G2"/>
    <mergeCell ref="H1:H2"/>
    <mergeCell ref="I1:I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Invoice Details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2026-09-05T06:58:14Z</dcterms:created>
  <dcterms:modified xsi:type="dcterms:W3CDTF">2026-09-10T08:43:29Z</dcterms:modified>
  <dc:language>en-US</dc:language>
</cp:coreProperties>
</file>