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3" authorId="0">
      <text>
        <r>
          <rPr>
            <sz val="10"/>
            <rFont val="Arial"/>
            <family val="2"/>
          </rPr>
          <t xml:space="preserve">GST @ 5% total (CGST 2.5% + SGST 2.5%)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<sst xmlns="http://schemas.openxmlformats.org/spreadsheetml/2006/main" count="115" uniqueCount="51">
  <si>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</si>
  <si>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</si>
  <si>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</si>
  <si>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</si>
  <si>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</si>
  <si>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</si>
  <si>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</si>
  <si>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</si>
  <si>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</si>
  <si>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</si>
  <si>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</si>
  <si>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</si>
  <si>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</si>
  <si>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</si>
  <si>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</si>
  <si>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</si>
  <si>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</si>
  <si>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</si>
  <si>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</si>
  <si>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</si>
  <si>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</si>
  <si>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</si>
  <si>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</si>
  <si>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</si>
  <si>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</si>
  <si>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8A3264</t>
  </si>
  <si>
    <t xml:space="preserve">CRB</t>
  </si>
  <si>
    <t xml:space="preserve">GST 5 %</t>
  </si>
  <si>
    <t xml:space="preserve">Pc(s)</t>
  </si>
  <si>
    <t xml:space="preserve">Edit</t>
  </si>
  <si>
    <t xml:space="preserve">8A3265</t>
  </si>
  <si>
    <t xml:space="preserve">8A3266</t>
  </si>
  <si>
    <t xml:space="preserve">8A3267</t>
  </si>
  <si>
    <t xml:space="preserve">8A3268</t>
  </si>
  <si>
    <t xml:space="preserve">8A3269</t>
  </si>
  <si>
    <t xml:space="preserve">8A3270</t>
  </si>
  <si>
    <t xml:space="preserve">8A3271</t>
  </si>
  <si>
    <t xml:space="preserve">8A3272</t>
  </si>
  <si>
    <t xml:space="preserve">8A3273</t>
  </si>
  <si>
    <t xml:space="preserve">8A3274</t>
  </si>
  <si>
    <t xml:space="preserve">8A3275</t>
  </si>
  <si>
    <t xml:space="preserve">8A3276</t>
  </si>
  <si>
    <t xml:space="preserve">8A3277</t>
  </si>
  <si>
    <t xml:space="preserve">8A3278</t>
  </si>
  <si>
    <t xml:space="preserve">8A3279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</si>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</sst>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6" min="14" style="0" width="1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20" min="19" style="0" width="12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3" t="s">
        <v>26</v>
      </c>
      <c r="D3" s="3" t="n">
        <v>50072090</v>
      </c>
      <c r="E3" s="3" t="s">
        <v>27</v>
      </c>
      <c r="F3" s="3" t="s">
        <v>28</v>
      </c>
      <c r="G3" s="4" t="n">
        <v>11</v>
      </c>
      <c r="H3" s="3"/>
      <c r="I3" s="4" t="n">
        <v>1195</v>
      </c>
      <c r="J3" s="4" t="n">
        <v>0</v>
      </c>
      <c r="K3" s="4" t="n">
        <v>0</v>
      </c>
      <c r="L3" s="4" t="n">
        <v>1195</v>
      </c>
      <c r="M3" s="4" t="n">
        <v>13145</v>
      </c>
      <c r="N3" s="4" t="n">
        <v>0</v>
      </c>
      <c r="O3" s="4" t="n">
        <v>328.63</v>
      </c>
      <c r="P3" s="4" t="n">
        <v>328.63</v>
      </c>
      <c r="Q3" s="4" t="n">
        <v>13802.25</v>
      </c>
      <c r="R3" s="4" t="n">
        <v>2080</v>
      </c>
      <c r="S3" s="4" t="n">
        <v>1374.25</v>
      </c>
      <c r="T3" s="4" t="n">
        <v>1553.5</v>
      </c>
      <c r="U3" s="3"/>
      <c r="V3" s="3" t="s">
        <v>29</v>
      </c>
    </row>
    <row r="4" customFormat="false" ht="15" hidden="false" customHeight="true" outlineLevel="0" collapsed="false">
      <c r="A4" s="3" t="n">
        <v>2</v>
      </c>
      <c r="B4" s="3" t="s">
        <v>30</v>
      </c>
      <c r="C4" s="3" t="s">
        <v>26</v>
      </c>
      <c r="D4" s="3" t="n">
        <v>50072090</v>
      </c>
      <c r="E4" s="3" t="s">
        <v>27</v>
      </c>
      <c r="F4" s="3" t="s">
        <v>28</v>
      </c>
      <c r="G4" s="4" t="n">
        <v>16</v>
      </c>
      <c r="H4" s="3"/>
      <c r="I4" s="4" t="n">
        <v>1195</v>
      </c>
      <c r="J4" s="4" t="n">
        <v>0</v>
      </c>
      <c r="K4" s="4" t="n">
        <v>0</v>
      </c>
      <c r="L4" s="4" t="n">
        <v>1195</v>
      </c>
      <c r="M4" s="4" t="n">
        <v>19120</v>
      </c>
      <c r="N4" s="4" t="n">
        <v>0</v>
      </c>
      <c r="O4" s="4" t="n">
        <v>478</v>
      </c>
      <c r="P4" s="4" t="n">
        <v>478</v>
      </c>
      <c r="Q4" s="4" t="n">
        <v>20076</v>
      </c>
      <c r="R4" s="4" t="n">
        <v>2080</v>
      </c>
      <c r="S4" s="4" t="n">
        <v>1374.25</v>
      </c>
      <c r="T4" s="4" t="n">
        <v>1553.5</v>
      </c>
      <c r="U4" s="3"/>
      <c r="V4" s="3" t="s">
        <v>29</v>
      </c>
    </row>
    <row r="5" customFormat="false" ht="15" hidden="false" customHeight="true" outlineLevel="0" collapsed="false">
      <c r="A5" s="3" t="n">
        <v>3</v>
      </c>
      <c r="B5" s="3" t="s">
        <v>31</v>
      </c>
      <c r="C5" s="3" t="s">
        <v>26</v>
      </c>
      <c r="D5" s="3" t="n">
        <v>50072090</v>
      </c>
      <c r="E5" s="3" t="s">
        <v>27</v>
      </c>
      <c r="F5" s="3" t="s">
        <v>28</v>
      </c>
      <c r="G5" s="4" t="n">
        <v>21</v>
      </c>
      <c r="H5" s="3"/>
      <c r="I5" s="4" t="n">
        <v>1195</v>
      </c>
      <c r="J5" s="4" t="n">
        <v>0</v>
      </c>
      <c r="K5" s="4" t="n">
        <v>0</v>
      </c>
      <c r="L5" s="4" t="n">
        <v>1195</v>
      </c>
      <c r="M5" s="4" t="n">
        <v>25095</v>
      </c>
      <c r="N5" s="4" t="n">
        <v>0</v>
      </c>
      <c r="O5" s="4" t="n">
        <v>627.38</v>
      </c>
      <c r="P5" s="4" t="n">
        <v>627.38</v>
      </c>
      <c r="Q5" s="4" t="n">
        <v>26349.75</v>
      </c>
      <c r="R5" s="4" t="n">
        <v>2080</v>
      </c>
      <c r="S5" s="4" t="n">
        <v>1374.25</v>
      </c>
      <c r="T5" s="4" t="n">
        <v>1553.5</v>
      </c>
      <c r="U5" s="3"/>
      <c r="V5" s="3" t="s">
        <v>29</v>
      </c>
    </row>
    <row r="6" customFormat="false" ht="15" hidden="false" customHeight="true" outlineLevel="0" collapsed="false">
      <c r="A6" s="3" t="n">
        <v>4</v>
      </c>
      <c r="B6" s="3" t="s">
        <v>32</v>
      </c>
      <c r="C6" s="3" t="s">
        <v>26</v>
      </c>
      <c r="D6" s="3" t="n">
        <v>50072090</v>
      </c>
      <c r="E6" s="3" t="s">
        <v>27</v>
      </c>
      <c r="F6" s="3" t="s">
        <v>28</v>
      </c>
      <c r="G6" s="4" t="n">
        <v>20</v>
      </c>
      <c r="H6" s="3"/>
      <c r="I6" s="4" t="n">
        <v>1195</v>
      </c>
      <c r="J6" s="4" t="n">
        <v>0</v>
      </c>
      <c r="K6" s="4" t="n">
        <v>0</v>
      </c>
      <c r="L6" s="4" t="n">
        <v>1195</v>
      </c>
      <c r="M6" s="4" t="n">
        <v>23900</v>
      </c>
      <c r="N6" s="4" t="n">
        <v>0</v>
      </c>
      <c r="O6" s="4" t="n">
        <v>597.5</v>
      </c>
      <c r="P6" s="4" t="n">
        <v>597.5</v>
      </c>
      <c r="Q6" s="4" t="n">
        <v>25095</v>
      </c>
      <c r="R6" s="4" t="n">
        <v>2080</v>
      </c>
      <c r="S6" s="4" t="n">
        <v>1374.25</v>
      </c>
      <c r="T6" s="4" t="n">
        <v>1553.5</v>
      </c>
      <c r="U6" s="3"/>
      <c r="V6" s="3" t="s">
        <v>29</v>
      </c>
    </row>
    <row r="7" customFormat="false" ht="15" hidden="false" customHeight="true" outlineLevel="0" collapsed="false">
      <c r="A7" s="3" t="n">
        <v>5</v>
      </c>
      <c r="B7" s="3" t="s">
        <v>33</v>
      </c>
      <c r="C7" s="3" t="s">
        <v>26</v>
      </c>
      <c r="D7" s="3" t="n">
        <v>50072090</v>
      </c>
      <c r="E7" s="3" t="s">
        <v>27</v>
      </c>
      <c r="F7" s="3" t="s">
        <v>28</v>
      </c>
      <c r="G7" s="4" t="n">
        <v>21</v>
      </c>
      <c r="H7" s="3"/>
      <c r="I7" s="4" t="n">
        <v>1195</v>
      </c>
      <c r="J7" s="4" t="n">
        <v>0</v>
      </c>
      <c r="K7" s="4" t="n">
        <v>0</v>
      </c>
      <c r="L7" s="4" t="n">
        <v>1195</v>
      </c>
      <c r="M7" s="4" t="n">
        <v>25095</v>
      </c>
      <c r="N7" s="4" t="n">
        <v>0</v>
      </c>
      <c r="O7" s="4" t="n">
        <v>627.38</v>
      </c>
      <c r="P7" s="4" t="n">
        <v>627.38</v>
      </c>
      <c r="Q7" s="4" t="n">
        <v>26349.75</v>
      </c>
      <c r="R7" s="4" t="n">
        <v>2080</v>
      </c>
      <c r="S7" s="4" t="n">
        <v>1374.25</v>
      </c>
      <c r="T7" s="4" t="n">
        <v>1553.5</v>
      </c>
      <c r="U7" s="3"/>
      <c r="V7" s="3" t="s">
        <v>29</v>
      </c>
    </row>
    <row r="8" customFormat="false" ht="15" hidden="false" customHeight="true" outlineLevel="0" collapsed="false">
      <c r="A8" s="3" t="n">
        <v>6</v>
      </c>
      <c r="B8" s="3" t="s">
        <v>34</v>
      </c>
      <c r="C8" s="3" t="s">
        <v>26</v>
      </c>
      <c r="D8" s="3" t="n">
        <v>50072090</v>
      </c>
      <c r="E8" s="3" t="s">
        <v>27</v>
      </c>
      <c r="F8" s="3" t="s">
        <v>28</v>
      </c>
      <c r="G8" s="4" t="n">
        <v>16</v>
      </c>
      <c r="H8" s="3"/>
      <c r="I8" s="4" t="n">
        <v>1195</v>
      </c>
      <c r="J8" s="4" t="n">
        <v>0</v>
      </c>
      <c r="K8" s="4" t="n">
        <v>0</v>
      </c>
      <c r="L8" s="4" t="n">
        <v>1195</v>
      </c>
      <c r="M8" s="4" t="n">
        <v>19120</v>
      </c>
      <c r="N8" s="4" t="n">
        <v>0</v>
      </c>
      <c r="O8" s="4" t="n">
        <v>478</v>
      </c>
      <c r="P8" s="4" t="n">
        <v>478</v>
      </c>
      <c r="Q8" s="4" t="n">
        <v>20076</v>
      </c>
      <c r="R8" s="4" t="n">
        <v>2080</v>
      </c>
      <c r="S8" s="4" t="n">
        <v>1374.25</v>
      </c>
      <c r="T8" s="4" t="n">
        <v>1553.5</v>
      </c>
      <c r="U8" s="3"/>
      <c r="V8" s="3" t="s">
        <v>29</v>
      </c>
    </row>
    <row r="9" customFormat="false" ht="15" hidden="false" customHeight="true" outlineLevel="0" collapsed="false">
      <c r="A9" s="3" t="n">
        <v>7</v>
      </c>
      <c r="B9" s="3" t="s">
        <v>35</v>
      </c>
      <c r="C9" s="3" t="s">
        <v>26</v>
      </c>
      <c r="D9" s="3" t="n">
        <v>50072090</v>
      </c>
      <c r="E9" s="3" t="s">
        <v>27</v>
      </c>
      <c r="F9" s="3" t="s">
        <v>28</v>
      </c>
      <c r="G9" s="4" t="n">
        <v>15</v>
      </c>
      <c r="H9" s="3"/>
      <c r="I9" s="4" t="n">
        <v>1195</v>
      </c>
      <c r="J9" s="4" t="n">
        <v>0</v>
      </c>
      <c r="K9" s="4" t="n">
        <v>0</v>
      </c>
      <c r="L9" s="4" t="n">
        <v>1195</v>
      </c>
      <c r="M9" s="4" t="n">
        <v>17925</v>
      </c>
      <c r="N9" s="4" t="n">
        <v>0</v>
      </c>
      <c r="O9" s="4" t="n">
        <v>448.13</v>
      </c>
      <c r="P9" s="4" t="n">
        <v>448.13</v>
      </c>
      <c r="Q9" s="4" t="n">
        <v>18821.25</v>
      </c>
      <c r="R9" s="4" t="n">
        <v>2080</v>
      </c>
      <c r="S9" s="4" t="n">
        <v>1374.25</v>
      </c>
      <c r="T9" s="4" t="n">
        <v>1553.5</v>
      </c>
      <c r="U9" s="3"/>
      <c r="V9" s="3" t="s">
        <v>29</v>
      </c>
    </row>
    <row r="10" customFormat="false" ht="15" hidden="false" customHeight="true" outlineLevel="0" collapsed="false">
      <c r="A10" s="3" t="n">
        <v>8</v>
      </c>
      <c r="B10" s="3" t="s">
        <v>36</v>
      </c>
      <c r="C10" s="3" t="s">
        <v>26</v>
      </c>
      <c r="D10" s="3" t="n">
        <v>50072090</v>
      </c>
      <c r="E10" s="3" t="s">
        <v>27</v>
      </c>
      <c r="F10" s="3" t="s">
        <v>28</v>
      </c>
      <c r="G10" s="4" t="n">
        <v>21</v>
      </c>
      <c r="H10" s="3"/>
      <c r="I10" s="4" t="n">
        <v>1195</v>
      </c>
      <c r="J10" s="4" t="n">
        <v>0</v>
      </c>
      <c r="K10" s="4" t="n">
        <v>0</v>
      </c>
      <c r="L10" s="4" t="n">
        <v>1195</v>
      </c>
      <c r="M10" s="4" t="n">
        <v>25095</v>
      </c>
      <c r="N10" s="4" t="n">
        <v>0</v>
      </c>
      <c r="O10" s="4" t="n">
        <v>627.38</v>
      </c>
      <c r="P10" s="4" t="n">
        <v>627.38</v>
      </c>
      <c r="Q10" s="4" t="n">
        <v>26349.75</v>
      </c>
      <c r="R10" s="4" t="n">
        <v>2080</v>
      </c>
      <c r="S10" s="4" t="n">
        <v>1374.25</v>
      </c>
      <c r="T10" s="4" t="n">
        <v>1553.5</v>
      </c>
      <c r="U10" s="3"/>
      <c r="V10" s="3" t="s">
        <v>29</v>
      </c>
    </row>
    <row r="11" customFormat="false" ht="15" hidden="false" customHeight="true" outlineLevel="0" collapsed="false">
      <c r="A11" s="3" t="n">
        <v>9</v>
      </c>
      <c r="B11" s="3" t="s">
        <v>37</v>
      </c>
      <c r="C11" s="3" t="s">
        <v>26</v>
      </c>
      <c r="D11" s="3" t="n">
        <v>50072090</v>
      </c>
      <c r="E11" s="3" t="s">
        <v>27</v>
      </c>
      <c r="F11" s="3" t="s">
        <v>28</v>
      </c>
      <c r="G11" s="4" t="n">
        <v>16</v>
      </c>
      <c r="H11" s="3"/>
      <c r="I11" s="4" t="n">
        <v>1195</v>
      </c>
      <c r="J11" s="4" t="n">
        <v>0</v>
      </c>
      <c r="K11" s="4" t="n">
        <v>0</v>
      </c>
      <c r="L11" s="4" t="n">
        <v>1195</v>
      </c>
      <c r="M11" s="4" t="n">
        <v>19120</v>
      </c>
      <c r="N11" s="4" t="n">
        <v>0</v>
      </c>
      <c r="O11" s="4" t="n">
        <v>478</v>
      </c>
      <c r="P11" s="4" t="n">
        <v>478</v>
      </c>
      <c r="Q11" s="4" t="n">
        <v>20076</v>
      </c>
      <c r="R11" s="4" t="n">
        <v>2080</v>
      </c>
      <c r="S11" s="4" t="n">
        <v>1374.25</v>
      </c>
      <c r="T11" s="4" t="n">
        <v>1553.5</v>
      </c>
      <c r="U11" s="3"/>
      <c r="V11" s="3" t="s">
        <v>29</v>
      </c>
    </row>
    <row r="12" customFormat="false" ht="15" hidden="false" customHeight="true" outlineLevel="0" collapsed="false">
      <c r="A12" s="3" t="n">
        <v>10</v>
      </c>
      <c r="B12" s="3" t="s">
        <v>38</v>
      </c>
      <c r="C12" s="3" t="s">
        <v>26</v>
      </c>
      <c r="D12" s="3" t="n">
        <v>50072090</v>
      </c>
      <c r="E12" s="3" t="s">
        <v>27</v>
      </c>
      <c r="F12" s="3" t="s">
        <v>28</v>
      </c>
      <c r="G12" s="4" t="n">
        <v>16</v>
      </c>
      <c r="H12" s="3"/>
      <c r="I12" s="4" t="n">
        <v>1195</v>
      </c>
      <c r="J12" s="4" t="n">
        <v>0</v>
      </c>
      <c r="K12" s="4" t="n">
        <v>0</v>
      </c>
      <c r="L12" s="4" t="n">
        <v>1195</v>
      </c>
      <c r="M12" s="4" t="n">
        <v>19120</v>
      </c>
      <c r="N12" s="4" t="n">
        <v>0</v>
      </c>
      <c r="O12" s="4" t="n">
        <v>478</v>
      </c>
      <c r="P12" s="4" t="n">
        <v>478</v>
      </c>
      <c r="Q12" s="4" t="n">
        <v>20076</v>
      </c>
      <c r="R12" s="4" t="n">
        <v>2080</v>
      </c>
      <c r="S12" s="4" t="n">
        <v>1374.25</v>
      </c>
      <c r="T12" s="4" t="n">
        <v>1553.5</v>
      </c>
      <c r="U12" s="3"/>
      <c r="V12" s="3" t="s">
        <v>29</v>
      </c>
    </row>
    <row r="13" customFormat="false" ht="15" hidden="false" customHeight="true" outlineLevel="0" collapsed="false">
      <c r="A13" s="3" t="n">
        <v>11</v>
      </c>
      <c r="B13" s="3" t="s">
        <v>39</v>
      </c>
      <c r="C13" s="3" t="s">
        <v>26</v>
      </c>
      <c r="D13" s="3" t="n">
        <v>50072090</v>
      </c>
      <c r="E13" s="3" t="s">
        <v>27</v>
      </c>
      <c r="F13" s="3" t="s">
        <v>28</v>
      </c>
      <c r="G13" s="4" t="n">
        <v>16</v>
      </c>
      <c r="H13" s="3"/>
      <c r="I13" s="4" t="n">
        <v>1195</v>
      </c>
      <c r="J13" s="4" t="n">
        <v>0</v>
      </c>
      <c r="K13" s="4" t="n">
        <v>0</v>
      </c>
      <c r="L13" s="4" t="n">
        <v>1195</v>
      </c>
      <c r="M13" s="4" t="n">
        <v>19120</v>
      </c>
      <c r="N13" s="4" t="n">
        <v>0</v>
      </c>
      <c r="O13" s="4" t="n">
        <v>478</v>
      </c>
      <c r="P13" s="4" t="n">
        <v>478</v>
      </c>
      <c r="Q13" s="4" t="n">
        <v>20076</v>
      </c>
      <c r="R13" s="4" t="n">
        <v>2080</v>
      </c>
      <c r="S13" s="4" t="n">
        <v>1374.25</v>
      </c>
      <c r="T13" s="4" t="n">
        <v>1553.5</v>
      </c>
      <c r="U13" s="3"/>
      <c r="V13" s="3" t="s">
        <v>29</v>
      </c>
    </row>
    <row r="14" customFormat="false" ht="15" hidden="false" customHeight="true" outlineLevel="0" collapsed="false">
      <c r="A14" s="3" t="n">
        <v>12</v>
      </c>
      <c r="B14" s="3" t="s">
        <v>40</v>
      </c>
      <c r="C14" s="3" t="s">
        <v>26</v>
      </c>
      <c r="D14" s="3" t="n">
        <v>50072090</v>
      </c>
      <c r="E14" s="3" t="s">
        <v>27</v>
      </c>
      <c r="F14" s="3" t="s">
        <v>28</v>
      </c>
      <c r="G14" s="4" t="n">
        <v>16</v>
      </c>
      <c r="H14" s="3"/>
      <c r="I14" s="4" t="n">
        <v>1195</v>
      </c>
      <c r="J14" s="4" t="n">
        <v>0</v>
      </c>
      <c r="K14" s="4" t="n">
        <v>0</v>
      </c>
      <c r="L14" s="4" t="n">
        <v>1195</v>
      </c>
      <c r="M14" s="4" t="n">
        <v>19120</v>
      </c>
      <c r="N14" s="4" t="n">
        <v>0</v>
      </c>
      <c r="O14" s="4" t="n">
        <v>478</v>
      </c>
      <c r="P14" s="4" t="n">
        <v>478</v>
      </c>
      <c r="Q14" s="4" t="n">
        <v>20076</v>
      </c>
      <c r="R14" s="4" t="n">
        <v>2080</v>
      </c>
      <c r="S14" s="4" t="n">
        <v>1374.25</v>
      </c>
      <c r="T14" s="4" t="n">
        <v>1553.5</v>
      </c>
      <c r="U14" s="3"/>
      <c r="V14" s="3" t="s">
        <v>29</v>
      </c>
    </row>
    <row r="15" customFormat="false" ht="15" hidden="false" customHeight="true" outlineLevel="0" collapsed="false">
      <c r="A15" s="3" t="n">
        <v>13</v>
      </c>
      <c r="B15" s="3" t="s">
        <v>41</v>
      </c>
      <c r="C15" s="3" t="s">
        <v>26</v>
      </c>
      <c r="D15" s="3" t="n">
        <v>50072090</v>
      </c>
      <c r="E15" s="3" t="s">
        <v>27</v>
      </c>
      <c r="F15" s="3" t="s">
        <v>28</v>
      </c>
      <c r="G15" s="4" t="n">
        <v>15</v>
      </c>
      <c r="H15" s="3"/>
      <c r="I15" s="4" t="n">
        <v>1195</v>
      </c>
      <c r="J15" s="4" t="n">
        <v>0</v>
      </c>
      <c r="K15" s="4" t="n">
        <v>0</v>
      </c>
      <c r="L15" s="4" t="n">
        <v>1195</v>
      </c>
      <c r="M15" s="4" t="n">
        <v>17925</v>
      </c>
      <c r="N15" s="4" t="n">
        <v>0</v>
      </c>
      <c r="O15" s="4" t="n">
        <v>448.13</v>
      </c>
      <c r="P15" s="4" t="n">
        <v>448.13</v>
      </c>
      <c r="Q15" s="4" t="n">
        <v>18821.25</v>
      </c>
      <c r="R15" s="4" t="n">
        <v>2080</v>
      </c>
      <c r="S15" s="4" t="n">
        <v>1374.25</v>
      </c>
      <c r="T15" s="4" t="n">
        <v>1553.5</v>
      </c>
      <c r="U15" s="3"/>
      <c r="V15" s="3" t="s">
        <v>29</v>
      </c>
    </row>
    <row r="16" customFormat="false" ht="15" hidden="false" customHeight="true" outlineLevel="0" collapsed="false">
      <c r="A16" s="3" t="n">
        <v>14</v>
      </c>
      <c r="B16" s="3" t="s">
        <v>42</v>
      </c>
      <c r="C16" s="3" t="s">
        <v>26</v>
      </c>
      <c r="D16" s="3" t="n">
        <v>50072090</v>
      </c>
      <c r="E16" s="3" t="s">
        <v>27</v>
      </c>
      <c r="F16" s="3" t="s">
        <v>28</v>
      </c>
      <c r="G16" s="4" t="n">
        <v>15</v>
      </c>
      <c r="H16" s="3"/>
      <c r="I16" s="4" t="n">
        <v>1195</v>
      </c>
      <c r="J16" s="4" t="n">
        <v>0</v>
      </c>
      <c r="K16" s="4" t="n">
        <v>0</v>
      </c>
      <c r="L16" s="4" t="n">
        <v>1195</v>
      </c>
      <c r="M16" s="4" t="n">
        <v>17925</v>
      </c>
      <c r="N16" s="4" t="n">
        <v>0</v>
      </c>
      <c r="O16" s="4" t="n">
        <v>448.13</v>
      </c>
      <c r="P16" s="4" t="n">
        <v>448.13</v>
      </c>
      <c r="Q16" s="4" t="n">
        <v>18821.25</v>
      </c>
      <c r="R16" s="4" t="n">
        <v>2080</v>
      </c>
      <c r="S16" s="4" t="n">
        <v>1374.25</v>
      </c>
      <c r="T16" s="4" t="n">
        <v>1553.5</v>
      </c>
      <c r="U16" s="3"/>
      <c r="V16" s="3" t="s">
        <v>29</v>
      </c>
    </row>
    <row r="17" customFormat="false" ht="15" hidden="false" customHeight="true" outlineLevel="0" collapsed="false">
      <c r="A17" s="3" t="n">
        <v>15</v>
      </c>
      <c r="B17" s="3" t="s">
        <v>43</v>
      </c>
      <c r="C17" s="3" t="s">
        <v>26</v>
      </c>
      <c r="D17" s="3" t="n">
        <v>50072090</v>
      </c>
      <c r="E17" s="3" t="s">
        <v>27</v>
      </c>
      <c r="F17" s="3" t="s">
        <v>28</v>
      </c>
      <c r="G17" s="4" t="n">
        <v>16</v>
      </c>
      <c r="H17" s="3"/>
      <c r="I17" s="4" t="n">
        <v>1195</v>
      </c>
      <c r="J17" s="4" t="n">
        <v>0</v>
      </c>
      <c r="K17" s="4" t="n">
        <v>0</v>
      </c>
      <c r="L17" s="4" t="n">
        <v>1195</v>
      </c>
      <c r="M17" s="4" t="n">
        <v>19120</v>
      </c>
      <c r="N17" s="4" t="n">
        <v>0</v>
      </c>
      <c r="O17" s="4" t="n">
        <v>478</v>
      </c>
      <c r="P17" s="4" t="n">
        <v>478</v>
      </c>
      <c r="Q17" s="4" t="n">
        <v>20076</v>
      </c>
      <c r="R17" s="4" t="n">
        <v>2080</v>
      </c>
      <c r="S17" s="4" t="n">
        <v>1374.25</v>
      </c>
      <c r="T17" s="4" t="n">
        <v>1553.5</v>
      </c>
      <c r="U17" s="3"/>
      <c r="V17" s="3" t="s">
        <v>29</v>
      </c>
    </row>
    <row r="18" customFormat="false" ht="15" hidden="false" customHeight="true" outlineLevel="0" collapsed="false">
      <c r="A18" s="3" t="n">
        <v>16</v>
      </c>
      <c r="B18" s="3" t="s">
        <v>44</v>
      </c>
      <c r="C18" s="3" t="s">
        <v>26</v>
      </c>
      <c r="D18" s="3" t="n">
        <v>50072090</v>
      </c>
      <c r="E18" s="3" t="s">
        <v>27</v>
      </c>
      <c r="F18" s="3" t="s">
        <v>28</v>
      </c>
      <c r="G18" s="4" t="n">
        <v>16</v>
      </c>
      <c r="H18" s="3"/>
      <c r="I18" s="4" t="n">
        <v>1195</v>
      </c>
      <c r="J18" s="4" t="n">
        <v>0</v>
      </c>
      <c r="K18" s="4" t="n">
        <v>0</v>
      </c>
      <c r="L18" s="4" t="n">
        <v>1195</v>
      </c>
      <c r="M18" s="4" t="n">
        <v>19120</v>
      </c>
      <c r="N18" s="4" t="n">
        <v>0</v>
      </c>
      <c r="O18" s="4" t="n">
        <v>478</v>
      </c>
      <c r="P18" s="4" t="n">
        <v>478</v>
      </c>
      <c r="Q18" s="4" t="n">
        <v>20076</v>
      </c>
      <c r="R18" s="4" t="n">
        <v>2080</v>
      </c>
      <c r="S18" s="4" t="n">
        <v>1374.25</v>
      </c>
      <c r="T18" s="4" t="n">
        <v>1553.5</v>
      </c>
      <c r="U18" s="3"/>
      <c r="V18" s="3" t="s">
        <v>29</v>
      </c>
    </row>
    <row r="19" customFormat="false" ht="15" hidden="false" customHeight="true" outlineLevel="0" collapsed="false">
      <c r="A19" s="5" t="s">
        <v>45</v>
      </c>
      <c r="B19" s="5"/>
      <c r="C19" s="5"/>
      <c r="D19" s="5"/>
      <c r="E19" s="5"/>
      <c r="F19" s="5"/>
      <c r="G19" s="6" t="n">
        <f aca="false">SUM(G3:G18)</f>
        <v>267</v>
      </c>
      <c r="H19" s="6" t="n">
        <f aca="false">SUM(H3:H18)</f>
        <v>0</v>
      </c>
      <c r="I19" s="6" t="n">
        <f aca="false">AVERAGE(I3:I18)</f>
        <v>1195</v>
      </c>
      <c r="J19" s="6" t="n">
        <f aca="false">SUM(J3:J18)</f>
        <v>0</v>
      </c>
      <c r="K19" s="6" t="n">
        <f aca="false">SUM(K3:K18)</f>
        <v>0</v>
      </c>
      <c r="L19" s="6" t="n">
        <f aca="false">AVERAGE(L3:L18)</f>
        <v>1195</v>
      </c>
      <c r="M19" s="6" t="n">
        <f aca="false">SUM(M3:M18)</f>
        <v>319065</v>
      </c>
      <c r="N19" s="6" t="n">
        <f aca="false">SUM(N3:N18)</f>
        <v>0</v>
      </c>
      <c r="O19" s="6" t="n">
        <f aca="false">SUM(O3:O18)</f>
        <v>7976.66</v>
      </c>
      <c r="P19" s="6" t="n">
        <f aca="false">SUM(P3:P18)</f>
        <v>7976.66</v>
      </c>
      <c r="Q19" s="6" t="n">
        <f aca="false">SUM(Q3:Q18)</f>
        <v>335018.25</v>
      </c>
      <c r="R19" s="6" t="n">
        <f aca="false">AVERAGE(R3:R18)</f>
        <v>2080</v>
      </c>
      <c r="S19" s="6" t="n">
        <f aca="false">AVERAGE(S3:S18)</f>
        <v>1374.25</v>
      </c>
      <c r="T19" s="6" t="n">
        <f aca="false">AVERAGE(T3:T18)</f>
        <v>1553.5</v>
      </c>
      <c r="U19" s="7"/>
      <c r="V19" s="7"/>
    </row>
    <row r="21" customFormat="false" ht="21.75" hidden="false" customHeight="true" outlineLevel="0" collapsed="false">
      <c r="A21" s="8" t="s">
        <v>46</v>
      </c>
    </row>
    <row r="22" customFormat="false" ht="24" hidden="false" customHeight="true" outlineLevel="0" collapsed="false">
      <c r="A22" s="2" t="s">
        <v>0</v>
      </c>
      <c r="B22" s="2" t="s">
        <v>47</v>
      </c>
      <c r="C22" s="2" t="s">
        <v>48</v>
      </c>
      <c r="D22" s="2" t="s">
        <v>49</v>
      </c>
      <c r="E22" s="2" t="s">
        <v>50</v>
      </c>
      <c r="F22" s="2" t="s">
        <v>8</v>
      </c>
      <c r="G22" s="2" t="s">
        <v>9</v>
      </c>
    </row>
    <row r="23" customFormat="false" ht="19.5" hidden="false" customHeight="true" outlineLevel="0" collapsed="false">
      <c r="A23" s="9" t="n">
        <v>1</v>
      </c>
      <c r="B23" s="9" t="n">
        <v>1</v>
      </c>
      <c r="C23" s="9" t="str">
        <f aca="false">C3</f>
        <v>CRB</v>
      </c>
      <c r="D23" s="10" t="n">
        <f aca="false">SUM(G3:G3)</f>
        <v>11</v>
      </c>
      <c r="E23" s="10" t="n">
        <f aca="false">SUM(M3:M3)</f>
        <v>13145</v>
      </c>
      <c r="F23" s="10" t="n">
        <f aca="false">ROUND(E23*5%,2)</f>
        <v>657.25</v>
      </c>
      <c r="G23" s="10" t="n">
        <f aca="false">E23+F23</f>
        <v>13802.25</v>
      </c>
    </row>
    <row r="24" customFormat="false" ht="19.5" hidden="false" customHeight="true" outlineLevel="0" collapsed="false">
      <c r="A24" s="9" t="n">
        <v>2</v>
      </c>
      <c r="B24" s="9" t="n">
        <v>2</v>
      </c>
      <c r="C24" s="9" t="str">
        <f aca="false">C4</f>
        <v>CRB</v>
      </c>
      <c r="D24" s="10" t="n">
        <f aca="false">SUM(G4:G4)</f>
        <v>16</v>
      </c>
      <c r="E24" s="10" t="n">
        <f aca="false">SUM(M4:M4)</f>
        <v>19120</v>
      </c>
      <c r="F24" s="10" t="n">
        <f aca="false">ROUND(E24*5%,2)</f>
        <v>956</v>
      </c>
      <c r="G24" s="10" t="n">
        <f aca="false">E24+F24</f>
        <v>20076</v>
      </c>
    </row>
    <row r="25" customFormat="false" ht="19.5" hidden="false" customHeight="true" outlineLevel="0" collapsed="false">
      <c r="A25" s="9" t="n">
        <v>3</v>
      </c>
      <c r="B25" s="9" t="n">
        <v>3</v>
      </c>
      <c r="C25" s="9" t="str">
        <f aca="false">C5</f>
        <v>CRB</v>
      </c>
      <c r="D25" s="10" t="n">
        <f aca="false">SUM(G5:G5)</f>
        <v>21</v>
      </c>
      <c r="E25" s="10" t="n">
        <f aca="false">SUM(M5:M5)</f>
        <v>25095</v>
      </c>
      <c r="F25" s="10" t="n">
        <f aca="false">ROUND(E25*5%,2)</f>
        <v>1254.75</v>
      </c>
      <c r="G25" s="10" t="n">
        <f aca="false">E25+F25</f>
        <v>26349.75</v>
      </c>
    </row>
    <row r="26" customFormat="false" ht="19.5" hidden="false" customHeight="true" outlineLevel="0" collapsed="false">
      <c r="A26" s="9" t="n">
        <v>4</v>
      </c>
      <c r="B26" s="9" t="n">
        <v>4</v>
      </c>
      <c r="C26" s="9" t="str">
        <f aca="false">C6</f>
        <v>CRB</v>
      </c>
      <c r="D26" s="10" t="n">
        <f aca="false">SUM(G6:G6)</f>
        <v>20</v>
      </c>
      <c r="E26" s="10" t="n">
        <f aca="false">SUM(M6:M6)</f>
        <v>23900</v>
      </c>
      <c r="F26" s="10" t="n">
        <f aca="false">ROUND(E26*5%,2)</f>
        <v>1195</v>
      </c>
      <c r="G26" s="10" t="n">
        <f aca="false">E26+F26</f>
        <v>25095</v>
      </c>
    </row>
    <row r="27" customFormat="false" ht="19.5" hidden="false" customHeight="true" outlineLevel="0" collapsed="false">
      <c r="A27" s="9" t="n">
        <v>5</v>
      </c>
      <c r="B27" s="9" t="n">
        <v>5</v>
      </c>
      <c r="C27" s="9" t="str">
        <f aca="false">C7</f>
        <v>CRB</v>
      </c>
      <c r="D27" s="10" t="n">
        <f aca="false">SUM(G7:G7)</f>
        <v>21</v>
      </c>
      <c r="E27" s="10" t="n">
        <f aca="false">SUM(M7:M7)</f>
        <v>25095</v>
      </c>
      <c r="F27" s="10" t="n">
        <f aca="false">ROUND(E27*5%,2)</f>
        <v>1254.75</v>
      </c>
      <c r="G27" s="10" t="n">
        <f aca="false">E27+F27</f>
        <v>26349.75</v>
      </c>
    </row>
    <row r="28" customFormat="false" ht="19.5" hidden="false" customHeight="true" outlineLevel="0" collapsed="false">
      <c r="A28" s="9" t="n">
        <v>6</v>
      </c>
      <c r="B28" s="9" t="n">
        <v>6</v>
      </c>
      <c r="C28" s="9" t="str">
        <f aca="false">C8</f>
        <v>CRB</v>
      </c>
      <c r="D28" s="10" t="n">
        <f aca="false">SUM(G8:G8)</f>
        <v>16</v>
      </c>
      <c r="E28" s="10" t="n">
        <f aca="false">SUM(M8:M8)</f>
        <v>19120</v>
      </c>
      <c r="F28" s="10" t="n">
        <f aca="false">ROUND(E28*5%,2)</f>
        <v>956</v>
      </c>
      <c r="G28" s="10" t="n">
        <f aca="false">E28+F28</f>
        <v>20076</v>
      </c>
    </row>
    <row r="29" customFormat="false" ht="19.5" hidden="false" customHeight="true" outlineLevel="0" collapsed="false">
      <c r="A29" s="9" t="n">
        <v>7</v>
      </c>
      <c r="B29" s="9" t="n">
        <v>7</v>
      </c>
      <c r="C29" s="9" t="str">
        <f aca="false">C9</f>
        <v>CRB</v>
      </c>
      <c r="D29" s="10" t="n">
        <f aca="false">SUM(G9:G9)</f>
        <v>15</v>
      </c>
      <c r="E29" s="10" t="n">
        <f aca="false">SUM(M9:M9)</f>
        <v>17925</v>
      </c>
      <c r="F29" s="10" t="n">
        <f aca="false">ROUND(E29*5%,2)</f>
        <v>896.25</v>
      </c>
      <c r="G29" s="10" t="n">
        <f aca="false">E29+F29</f>
        <v>18821.25</v>
      </c>
    </row>
    <row r="30" customFormat="false" ht="19.5" hidden="false" customHeight="true" outlineLevel="0" collapsed="false">
      <c r="A30" s="9" t="n">
        <v>8</v>
      </c>
      <c r="B30" s="9" t="n">
        <v>8</v>
      </c>
      <c r="C30" s="9" t="str">
        <f aca="false">C10</f>
        <v>CRB</v>
      </c>
      <c r="D30" s="10" t="n">
        <f aca="false">SUM(G10:G10)</f>
        <v>21</v>
      </c>
      <c r="E30" s="10" t="n">
        <f aca="false">SUM(M10:M10)</f>
        <v>25095</v>
      </c>
      <c r="F30" s="10" t="n">
        <f aca="false">ROUND(E30*5%,2)</f>
        <v>1254.75</v>
      </c>
      <c r="G30" s="10" t="n">
        <f aca="false">E30+F30</f>
        <v>26349.75</v>
      </c>
    </row>
    <row r="31" customFormat="false" ht="19.5" hidden="false" customHeight="true" outlineLevel="0" collapsed="false">
      <c r="A31" s="9" t="n">
        <v>9</v>
      </c>
      <c r="B31" s="9" t="n">
        <v>9</v>
      </c>
      <c r="C31" s="9" t="str">
        <f aca="false">C11</f>
        <v>CRB</v>
      </c>
      <c r="D31" s="10" t="n">
        <f aca="false">SUM(G11:G11)</f>
        <v>16</v>
      </c>
      <c r="E31" s="10" t="n">
        <f aca="false">SUM(M11:M11)</f>
        <v>19120</v>
      </c>
      <c r="F31" s="10" t="n">
        <f aca="false">ROUND(E31*5%,2)</f>
        <v>956</v>
      </c>
      <c r="G31" s="10" t="n">
        <f aca="false">E31+F31</f>
        <v>20076</v>
      </c>
    </row>
    <row r="32" customFormat="false" ht="19.5" hidden="false" customHeight="true" outlineLevel="0" collapsed="false">
      <c r="A32" s="9" t="n">
        <v>10</v>
      </c>
      <c r="B32" s="9" t="n">
        <v>10</v>
      </c>
      <c r="C32" s="9" t="str">
        <f aca="false">C12</f>
        <v>CRB</v>
      </c>
      <c r="D32" s="10" t="n">
        <f aca="false">SUM(G12:G12)</f>
        <v>16</v>
      </c>
      <c r="E32" s="10" t="n">
        <f aca="false">SUM(M12:M12)</f>
        <v>19120</v>
      </c>
      <c r="F32" s="10" t="n">
        <f aca="false">ROUND(E32*5%,2)</f>
        <v>956</v>
      </c>
      <c r="G32" s="10" t="n">
        <f aca="false">E32+F32</f>
        <v>20076</v>
      </c>
    </row>
    <row r="33" customFormat="false" ht="19.5" hidden="false" customHeight="true" outlineLevel="0" collapsed="false">
      <c r="A33" s="9" t="n">
        <v>11</v>
      </c>
      <c r="B33" s="9" t="n">
        <v>11</v>
      </c>
      <c r="C33" s="9" t="str">
        <f aca="false">C13</f>
        <v>CRB</v>
      </c>
      <c r="D33" s="10" t="n">
        <f aca="false">SUM(G13:G13)</f>
        <v>16</v>
      </c>
      <c r="E33" s="10" t="n">
        <f aca="false">SUM(M13:M13)</f>
        <v>19120</v>
      </c>
      <c r="F33" s="10" t="n">
        <f aca="false">ROUND(E33*5%,2)</f>
        <v>956</v>
      </c>
      <c r="G33" s="10" t="n">
        <f aca="false">E33+F33</f>
        <v>20076</v>
      </c>
    </row>
    <row r="34" customFormat="false" ht="19.5" hidden="false" customHeight="true" outlineLevel="0" collapsed="false">
      <c r="A34" s="9" t="n">
        <v>12</v>
      </c>
      <c r="B34" s="9" t="n">
        <v>12</v>
      </c>
      <c r="C34" s="9" t="str">
        <f aca="false">C14</f>
        <v>CRB</v>
      </c>
      <c r="D34" s="10" t="n">
        <f aca="false">SUM(G14:G14)</f>
        <v>16</v>
      </c>
      <c r="E34" s="10" t="n">
        <f aca="false">SUM(M14:M14)</f>
        <v>19120</v>
      </c>
      <c r="F34" s="10" t="n">
        <f aca="false">ROUND(E34*5%,2)</f>
        <v>956</v>
      </c>
      <c r="G34" s="10" t="n">
        <f aca="false">E34+F34</f>
        <v>20076</v>
      </c>
    </row>
    <row r="35" customFormat="false" ht="19.5" hidden="false" customHeight="true" outlineLevel="0" collapsed="false">
      <c r="A35" s="9" t="n">
        <v>13</v>
      </c>
      <c r="B35" s="9" t="n">
        <v>13</v>
      </c>
      <c r="C35" s="9" t="str">
        <f aca="false">C15</f>
        <v>CRB</v>
      </c>
      <c r="D35" s="10" t="n">
        <f aca="false">SUM(G15:G15)</f>
        <v>15</v>
      </c>
      <c r="E35" s="10" t="n">
        <f aca="false">SUM(M15:M15)</f>
        <v>17925</v>
      </c>
      <c r="F35" s="10" t="n">
        <f aca="false">ROUND(E35*5%,2)</f>
        <v>896.25</v>
      </c>
      <c r="G35" s="10" t="n">
        <f aca="false">E35+F35</f>
        <v>18821.25</v>
      </c>
    </row>
    <row r="36" customFormat="false" ht="19.5" hidden="false" customHeight="true" outlineLevel="0" collapsed="false">
      <c r="A36" s="9" t="n">
        <v>14</v>
      </c>
      <c r="B36" s="9" t="n">
        <v>14</v>
      </c>
      <c r="C36" s="9" t="str">
        <f aca="false">C16</f>
        <v>CRB</v>
      </c>
      <c r="D36" s="10" t="n">
        <f aca="false">SUM(G16:G16)</f>
        <v>15</v>
      </c>
      <c r="E36" s="10" t="n">
        <f aca="false">SUM(M16:M16)</f>
        <v>17925</v>
      </c>
      <c r="F36" s="10" t="n">
        <f aca="false">ROUND(E36*5%,2)</f>
        <v>896.25</v>
      </c>
      <c r="G36" s="10" t="n">
        <f aca="false">E36+F36</f>
        <v>18821.25</v>
      </c>
    </row>
    <row r="37" customFormat="false" ht="19.5" hidden="false" customHeight="true" outlineLevel="0" collapsed="false">
      <c r="A37" s="9" t="n">
        <v>15</v>
      </c>
      <c r="B37" s="9" t="n">
        <v>15</v>
      </c>
      <c r="C37" s="9" t="str">
        <f aca="false">C17</f>
        <v>CRB</v>
      </c>
      <c r="D37" s="10" t="n">
        <f aca="false">SUM(G17:G17)</f>
        <v>16</v>
      </c>
      <c r="E37" s="10" t="n">
        <f aca="false">SUM(M17:M17)</f>
        <v>19120</v>
      </c>
      <c r="F37" s="10" t="n">
        <f aca="false">ROUND(E37*5%,2)</f>
        <v>956</v>
      </c>
      <c r="G37" s="10" t="n">
        <f aca="false">E37+F37</f>
        <v>20076</v>
      </c>
    </row>
    <row r="38" customFormat="false" ht="19.5" hidden="false" customHeight="true" outlineLevel="0" collapsed="false">
      <c r="A38" s="9" t="n">
        <v>16</v>
      </c>
      <c r="B38" s="9" t="n">
        <v>16</v>
      </c>
      <c r="C38" s="9" t="str">
        <f aca="false">C18</f>
        <v>CRB</v>
      </c>
      <c r="D38" s="10" t="n">
        <f aca="false">SUM(G18:G18)</f>
        <v>16</v>
      </c>
      <c r="E38" s="10" t="n">
        <f aca="false">SUM(M18:M18)</f>
        <v>19120</v>
      </c>
      <c r="F38" s="10" t="n">
        <f aca="false">ROUND(E38*5%,2)</f>
        <v>956</v>
      </c>
      <c r="G38" s="10" t="n">
        <f aca="false">E38+F38</f>
        <v>20076</v>
      </c>
    </row>
    <row r="39" customFormat="false" ht="19.5" hidden="false" customHeight="true" outlineLevel="0" collapsed="false">
      <c r="A39" s="11" t="s">
        <v>45</v>
      </c>
      <c r="B39" s="12"/>
      <c r="C39" s="12"/>
      <c r="D39" s="13" t="n">
        <f aca="false">SUM(D23:D38)</f>
        <v>267</v>
      </c>
      <c r="E39" s="13" t="n">
        <f aca="false">SUM(E23:E38)</f>
        <v>319065</v>
      </c>
      <c r="F39" s="13" t="n">
        <f aca="false">SUM(F23:F38)</f>
        <v>15953.25</v>
      </c>
      <c r="G39" s="13" t="n">
        <f aca="false">SUM(G23:G38)</f>
        <v>335018.25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2026-09-05T11:18:54Z</dcterms:created>
  <dc:creator>openpyxl</dc:creator>
  <dc:description/>
  <dc:language>en-US</dc:language>
  <cp:lastModifiedBy/>
  <dcterms:modified xsi:type="dcterms:W3CDTF">2026-09-10T07:12:59Z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