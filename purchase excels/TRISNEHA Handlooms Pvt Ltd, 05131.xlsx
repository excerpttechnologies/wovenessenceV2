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3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<sst xmlns="http://schemas.openxmlformats.org/spreadsheetml/2006/main" count="71" uniqueCount="47">
  <si>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</si>
  <si>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</si>
  <si>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</si>
  <si>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</si>
  <si>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</si>
  <si>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</si>
  <si>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</si>
  <si>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</si>
  <si>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</si>
  <si>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</si>
  <si>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</si>
  <si>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</si>
  <si>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</si>
  <si>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</si>
  <si>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</si>
  <si>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</si>
  <si>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</si>
  <si>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</si>
  <si>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</si>
  <si>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</si>
  <si>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</si>
  <si>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</si>
  <si>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</si>
  <si>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</si>
  <si>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</si>
  <si>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8A3253</t>
  </si>
  <si>
    <t xml:space="preserve">15-SCTN</t>
  </si>
  <si>
    <t xml:space="preserve">GST 5 %</t>
  </si>
  <si>
    <t xml:space="preserve">Pc(s)</t>
  </si>
  <si>
    <t xml:space="preserve">Edit</t>
  </si>
  <si>
    <t xml:space="preserve">8A3254</t>
  </si>
  <si>
    <t xml:space="preserve">8A3255</t>
  </si>
  <si>
    <t xml:space="preserve">8A3256</t>
  </si>
  <si>
    <t xml:space="preserve">8A3257</t>
  </si>
  <si>
    <t xml:space="preserve">8A3258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</si>
  <si>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</si>
  <si>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</si>
  <si>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</si>
  <si>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</si>
  <si>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</si>
  <si>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</si>
  <si>
    <t xml:space="preserve">1B</t>
  </si>
  <si>
    <t xml:space="preserve">1C</t>
  </si>
  <si>
    <t xml:space="preserve">1D</t>
  </si>
  <si>
    <t xml:space="preserve">2A</t>
  </si>
  <si>
    <t xml:space="preserve">2B</t>
  </si>
  <si>
    <t xml:space="preserve">1E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</si>
</sst>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36609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2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6" min="14" style="0" width="1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12"/>
    <col collapsed="false" customWidth="true" hidden="false" outlineLevel="0" max="22" min="21" style="0" width="10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3" t="s">
        <v>25</v>
      </c>
      <c r="C3" s="3" t="s">
        <v>26</v>
      </c>
      <c r="D3" s="3" t="n">
        <v>52082120</v>
      </c>
      <c r="E3" s="3" t="s">
        <v>27</v>
      </c>
      <c r="F3" s="3" t="s">
        <v>28</v>
      </c>
      <c r="G3" s="4" t="n">
        <v>5</v>
      </c>
      <c r="H3" s="3"/>
      <c r="I3" s="4" t="n">
        <v>550</v>
      </c>
      <c r="J3" s="4" t="n">
        <v>0</v>
      </c>
      <c r="K3" s="4" t="n">
        <v>0</v>
      </c>
      <c r="L3" s="4" t="n">
        <v>550</v>
      </c>
      <c r="M3" s="4" t="n">
        <v>2750</v>
      </c>
      <c r="N3" s="4" t="n">
        <v>137.5</v>
      </c>
      <c r="O3" s="4" t="n">
        <v>0</v>
      </c>
      <c r="P3" s="4" t="n">
        <v>0</v>
      </c>
      <c r="Q3" s="4" t="n">
        <v>2887.5</v>
      </c>
      <c r="R3" s="4" t="n">
        <v>1090</v>
      </c>
      <c r="S3" s="4" t="n">
        <v>632.5</v>
      </c>
      <c r="T3" s="4" t="n">
        <v>715</v>
      </c>
      <c r="U3" s="3"/>
      <c r="V3" s="3" t="s">
        <v>29</v>
      </c>
    </row>
    <row r="4" customFormat="false" ht="15" hidden="false" customHeight="true" outlineLevel="0" collapsed="false">
      <c r="A4" s="3" t="n">
        <v>2</v>
      </c>
      <c r="B4" s="3" t="s">
        <v>30</v>
      </c>
      <c r="C4" s="3" t="s">
        <v>26</v>
      </c>
      <c r="D4" s="3" t="n">
        <v>52082120</v>
      </c>
      <c r="E4" s="3" t="s">
        <v>27</v>
      </c>
      <c r="F4" s="3" t="s">
        <v>28</v>
      </c>
      <c r="G4" s="4" t="n">
        <v>5</v>
      </c>
      <c r="H4" s="3"/>
      <c r="I4" s="4" t="n">
        <v>550</v>
      </c>
      <c r="J4" s="4" t="n">
        <v>0</v>
      </c>
      <c r="K4" s="4" t="n">
        <v>0</v>
      </c>
      <c r="L4" s="4" t="n">
        <v>550</v>
      </c>
      <c r="M4" s="4" t="n">
        <v>2750</v>
      </c>
      <c r="N4" s="4" t="n">
        <v>137.5</v>
      </c>
      <c r="O4" s="4" t="n">
        <v>0</v>
      </c>
      <c r="P4" s="4" t="n">
        <v>0</v>
      </c>
      <c r="Q4" s="4" t="n">
        <v>2887.5</v>
      </c>
      <c r="R4" s="4" t="n">
        <v>1090</v>
      </c>
      <c r="S4" s="4" t="n">
        <v>632.5</v>
      </c>
      <c r="T4" s="4" t="n">
        <v>715</v>
      </c>
      <c r="U4" s="3"/>
      <c r="V4" s="3" t="s">
        <v>29</v>
      </c>
    </row>
    <row r="5" customFormat="false" ht="15" hidden="false" customHeight="true" outlineLevel="0" collapsed="false">
      <c r="A5" s="3" t="n">
        <v>3</v>
      </c>
      <c r="B5" s="3" t="s">
        <v>31</v>
      </c>
      <c r="C5" s="3" t="s">
        <v>26</v>
      </c>
      <c r="D5" s="3" t="n">
        <v>52082120</v>
      </c>
      <c r="E5" s="3" t="s">
        <v>27</v>
      </c>
      <c r="F5" s="3" t="s">
        <v>28</v>
      </c>
      <c r="G5" s="4" t="n">
        <v>5</v>
      </c>
      <c r="H5" s="3"/>
      <c r="I5" s="4" t="n">
        <v>550</v>
      </c>
      <c r="J5" s="4" t="n">
        <v>0</v>
      </c>
      <c r="K5" s="4" t="n">
        <v>0</v>
      </c>
      <c r="L5" s="4" t="n">
        <v>550</v>
      </c>
      <c r="M5" s="4" t="n">
        <v>2750</v>
      </c>
      <c r="N5" s="4" t="n">
        <v>137.5</v>
      </c>
      <c r="O5" s="4" t="n">
        <v>0</v>
      </c>
      <c r="P5" s="4" t="n">
        <v>0</v>
      </c>
      <c r="Q5" s="4" t="n">
        <v>2887.5</v>
      </c>
      <c r="R5" s="4" t="n">
        <v>1090</v>
      </c>
      <c r="S5" s="4" t="n">
        <v>632.5</v>
      </c>
      <c r="T5" s="4" t="n">
        <v>715</v>
      </c>
      <c r="U5" s="3"/>
      <c r="V5" s="3" t="s">
        <v>29</v>
      </c>
    </row>
    <row r="6" customFormat="false" ht="15" hidden="false" customHeight="true" outlineLevel="0" collapsed="false">
      <c r="A6" s="3" t="n">
        <v>4</v>
      </c>
      <c r="B6" s="3" t="s">
        <v>32</v>
      </c>
      <c r="C6" s="3" t="s">
        <v>26</v>
      </c>
      <c r="D6" s="3" t="n">
        <v>52082120</v>
      </c>
      <c r="E6" s="3" t="s">
        <v>27</v>
      </c>
      <c r="F6" s="3" t="s">
        <v>28</v>
      </c>
      <c r="G6" s="4" t="n">
        <v>5</v>
      </c>
      <c r="H6" s="3"/>
      <c r="I6" s="4" t="n">
        <v>675</v>
      </c>
      <c r="J6" s="4" t="n">
        <v>0</v>
      </c>
      <c r="K6" s="4" t="n">
        <v>0</v>
      </c>
      <c r="L6" s="4" t="n">
        <v>675</v>
      </c>
      <c r="M6" s="4" t="n">
        <v>3375</v>
      </c>
      <c r="N6" s="4" t="n">
        <v>168.75</v>
      </c>
      <c r="O6" s="4" t="n">
        <v>0</v>
      </c>
      <c r="P6" s="4" t="n">
        <v>0</v>
      </c>
      <c r="Q6" s="4" t="n">
        <v>3543.75</v>
      </c>
      <c r="R6" s="4" t="n">
        <v>1380</v>
      </c>
      <c r="S6" s="4" t="n">
        <v>776.25</v>
      </c>
      <c r="T6" s="4" t="n">
        <v>877.5</v>
      </c>
      <c r="U6" s="3"/>
      <c r="V6" s="3" t="s">
        <v>29</v>
      </c>
    </row>
    <row r="7" customFormat="false" ht="15" hidden="false" customHeight="true" outlineLevel="0" collapsed="false">
      <c r="A7" s="3" t="n">
        <v>5</v>
      </c>
      <c r="B7" s="3" t="s">
        <v>33</v>
      </c>
      <c r="C7" s="3" t="s">
        <v>26</v>
      </c>
      <c r="D7" s="3" t="n">
        <v>52082120</v>
      </c>
      <c r="E7" s="3" t="s">
        <v>27</v>
      </c>
      <c r="F7" s="3" t="s">
        <v>28</v>
      </c>
      <c r="G7" s="4" t="n">
        <v>5</v>
      </c>
      <c r="H7" s="3"/>
      <c r="I7" s="4" t="n">
        <v>675</v>
      </c>
      <c r="J7" s="4" t="n">
        <v>0</v>
      </c>
      <c r="K7" s="4" t="n">
        <v>0</v>
      </c>
      <c r="L7" s="4" t="n">
        <v>675</v>
      </c>
      <c r="M7" s="4" t="n">
        <v>3375</v>
      </c>
      <c r="N7" s="4" t="n">
        <v>168.75</v>
      </c>
      <c r="O7" s="4" t="n">
        <v>0</v>
      </c>
      <c r="P7" s="4" t="n">
        <v>0</v>
      </c>
      <c r="Q7" s="4" t="n">
        <v>3543.75</v>
      </c>
      <c r="R7" s="4" t="n">
        <v>1380</v>
      </c>
      <c r="S7" s="4" t="n">
        <v>776.25</v>
      </c>
      <c r="T7" s="4" t="n">
        <v>877.5</v>
      </c>
      <c r="U7" s="3"/>
      <c r="V7" s="3" t="s">
        <v>29</v>
      </c>
    </row>
    <row r="8" customFormat="false" ht="15" hidden="false" customHeight="true" outlineLevel="0" collapsed="false">
      <c r="A8" s="3" t="n">
        <v>6</v>
      </c>
      <c r="B8" s="3" t="s">
        <v>34</v>
      </c>
      <c r="C8" s="3" t="s">
        <v>26</v>
      </c>
      <c r="D8" s="3" t="n">
        <v>52082120</v>
      </c>
      <c r="E8" s="3" t="s">
        <v>27</v>
      </c>
      <c r="F8" s="3" t="s">
        <v>28</v>
      </c>
      <c r="G8" s="4" t="n">
        <v>5</v>
      </c>
      <c r="H8" s="3"/>
      <c r="I8" s="4" t="n">
        <v>550</v>
      </c>
      <c r="J8" s="4" t="n">
        <v>0</v>
      </c>
      <c r="K8" s="4" t="n">
        <v>0</v>
      </c>
      <c r="L8" s="4" t="n">
        <v>550</v>
      </c>
      <c r="M8" s="4" t="n">
        <v>2750</v>
      </c>
      <c r="N8" s="4" t="n">
        <v>137.5</v>
      </c>
      <c r="O8" s="4" t="n">
        <v>0</v>
      </c>
      <c r="P8" s="4" t="n">
        <v>0</v>
      </c>
      <c r="Q8" s="4" t="n">
        <v>2887.5</v>
      </c>
      <c r="R8" s="4" t="n">
        <v>1090</v>
      </c>
      <c r="S8" s="4" t="n">
        <v>632.5</v>
      </c>
      <c r="T8" s="4" t="n">
        <v>715</v>
      </c>
      <c r="U8" s="3"/>
      <c r="V8" s="3" t="s">
        <v>29</v>
      </c>
    </row>
    <row r="9" customFormat="false" ht="15" hidden="false" customHeight="true" outlineLevel="0" collapsed="false">
      <c r="A9" s="5" t="s">
        <v>35</v>
      </c>
      <c r="B9" s="5"/>
      <c r="C9" s="5"/>
      <c r="D9" s="5"/>
      <c r="E9" s="5"/>
      <c r="F9" s="5"/>
      <c r="G9" s="6" t="n">
        <f aca="false">SUM(G3:G8)</f>
        <v>30</v>
      </c>
      <c r="H9" s="6" t="n">
        <f aca="false">SUM(H3:H8)</f>
        <v>0</v>
      </c>
      <c r="I9" s="6" t="n">
        <f aca="false">AVERAGE(I3:I8)</f>
        <v>591.666666666667</v>
      </c>
      <c r="J9" s="6" t="n">
        <f aca="false">SUM(J3:J8)</f>
        <v>0</v>
      </c>
      <c r="K9" s="6" t="n">
        <f aca="false">SUM(K3:K8)</f>
        <v>0</v>
      </c>
      <c r="L9" s="6" t="n">
        <f aca="false">AVERAGE(L3:L8)</f>
        <v>591.666666666667</v>
      </c>
      <c r="M9" s="6" t="n">
        <f aca="false">SUM(M3:M8)</f>
        <v>17750</v>
      </c>
      <c r="N9" s="6" t="n">
        <f aca="false">SUM(N3:N8)</f>
        <v>887.5</v>
      </c>
      <c r="O9" s="6" t="n">
        <f aca="false">SUM(O3:O8)</f>
        <v>0</v>
      </c>
      <c r="P9" s="6" t="n">
        <f aca="false">SUM(P3:P8)</f>
        <v>0</v>
      </c>
      <c r="Q9" s="6" t="n">
        <f aca="false">SUM(Q3:Q8)</f>
        <v>18637.5</v>
      </c>
      <c r="R9" s="6" t="n">
        <f aca="false">AVERAGE(R3:R8)</f>
        <v>1186.66666666667</v>
      </c>
      <c r="S9" s="6" t="n">
        <f aca="false">AVERAGE(S3:S8)</f>
        <v>680.416666666667</v>
      </c>
      <c r="T9" s="6" t="n">
        <f aca="false">AVERAGE(T3:T8)</f>
        <v>769.166666666667</v>
      </c>
      <c r="U9" s="7"/>
      <c r="V9" s="7"/>
    </row>
    <row r="11" customFormat="false" ht="21.75" hidden="false" customHeight="true" outlineLevel="0" collapsed="false">
      <c r="A11" s="8" t="s">
        <v>36</v>
      </c>
    </row>
    <row r="12" customFormat="false" ht="24" hidden="false" customHeight="true" outlineLevel="0" collapsed="false">
      <c r="A12" s="2" t="s">
        <v>0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8</v>
      </c>
      <c r="G12" s="2" t="s">
        <v>9</v>
      </c>
    </row>
    <row r="13" customFormat="false" ht="19.5" hidden="false" customHeight="true" outlineLevel="0" collapsed="false">
      <c r="A13" s="9" t="n">
        <v>1</v>
      </c>
      <c r="B13" s="9" t="s">
        <v>41</v>
      </c>
      <c r="C13" s="9" t="str">
        <f aca="false">C3</f>
        <v>15-SCTN</v>
      </c>
      <c r="D13" s="10" t="n">
        <f aca="false">SUM(G3:G3)</f>
        <v>5</v>
      </c>
      <c r="E13" s="10" t="n">
        <f aca="false">SUM(M3:M3)</f>
        <v>2750</v>
      </c>
      <c r="F13" s="10" t="n">
        <f aca="false">ROUND(E13*5%,2)</f>
        <v>137.5</v>
      </c>
      <c r="G13" s="10" t="n">
        <f aca="false">E13+F13</f>
        <v>2887.5</v>
      </c>
    </row>
    <row r="14" customFormat="false" ht="19.5" hidden="false" customHeight="true" outlineLevel="0" collapsed="false">
      <c r="A14" s="9" t="n">
        <v>2</v>
      </c>
      <c r="B14" s="9" t="s">
        <v>42</v>
      </c>
      <c r="C14" s="9" t="str">
        <f aca="false">C4</f>
        <v>15-SCTN</v>
      </c>
      <c r="D14" s="10" t="n">
        <f aca="false">SUM(G4:G4)</f>
        <v>5</v>
      </c>
      <c r="E14" s="10" t="n">
        <f aca="false">SUM(M4:M4)</f>
        <v>2750</v>
      </c>
      <c r="F14" s="10" t="n">
        <f aca="false">ROUND(E14*5%,2)</f>
        <v>137.5</v>
      </c>
      <c r="G14" s="10" t="n">
        <f aca="false">E14+F14</f>
        <v>2887.5</v>
      </c>
    </row>
    <row r="15" customFormat="false" ht="19.5" hidden="false" customHeight="true" outlineLevel="0" collapsed="false">
      <c r="A15" s="9" t="n">
        <v>3</v>
      </c>
      <c r="B15" s="9" t="s">
        <v>43</v>
      </c>
      <c r="C15" s="9" t="str">
        <f aca="false">C5</f>
        <v>15-SCTN</v>
      </c>
      <c r="D15" s="10" t="n">
        <f aca="false">SUM(G5:G5)</f>
        <v>5</v>
      </c>
      <c r="E15" s="10" t="n">
        <f aca="false">SUM(M5:M5)</f>
        <v>2750</v>
      </c>
      <c r="F15" s="10" t="n">
        <f aca="false">ROUND(E15*5%,2)</f>
        <v>137.5</v>
      </c>
      <c r="G15" s="10" t="n">
        <f aca="false">E15+F15</f>
        <v>2887.5</v>
      </c>
    </row>
    <row r="16" customFormat="false" ht="19.5" hidden="false" customHeight="true" outlineLevel="0" collapsed="false">
      <c r="A16" s="9" t="n">
        <v>4</v>
      </c>
      <c r="B16" s="9" t="s">
        <v>44</v>
      </c>
      <c r="C16" s="9" t="str">
        <f aca="false">C6</f>
        <v>15-SCTN</v>
      </c>
      <c r="D16" s="10" t="n">
        <f aca="false">SUM(G6:G6)</f>
        <v>5</v>
      </c>
      <c r="E16" s="10" t="n">
        <f aca="false">SUM(M6:M6)</f>
        <v>3375</v>
      </c>
      <c r="F16" s="10" t="n">
        <f aca="false">ROUND(E16*5%,2)</f>
        <v>168.75</v>
      </c>
      <c r="G16" s="10" t="n">
        <f aca="false">E16+F16</f>
        <v>3543.75</v>
      </c>
    </row>
    <row r="17" customFormat="false" ht="19.5" hidden="false" customHeight="true" outlineLevel="0" collapsed="false">
      <c r="A17" s="9" t="n">
        <v>5</v>
      </c>
      <c r="B17" s="9" t="s">
        <v>45</v>
      </c>
      <c r="C17" s="9" t="str">
        <f aca="false">C7</f>
        <v>15-SCTN</v>
      </c>
      <c r="D17" s="10" t="n">
        <f aca="false">SUM(G7:G7)</f>
        <v>5</v>
      </c>
      <c r="E17" s="10" t="n">
        <f aca="false">SUM(M7:M7)</f>
        <v>3375</v>
      </c>
      <c r="F17" s="10" t="n">
        <f aca="false">ROUND(E17*5%,2)</f>
        <v>168.75</v>
      </c>
      <c r="G17" s="10" t="n">
        <f aca="false">E17+F17</f>
        <v>3543.75</v>
      </c>
    </row>
    <row r="18" customFormat="false" ht="19.5" hidden="false" customHeight="true" outlineLevel="0" collapsed="false">
      <c r="A18" s="9" t="n">
        <v>6</v>
      </c>
      <c r="B18" s="9" t="s">
        <v>46</v>
      </c>
      <c r="C18" s="9" t="str">
        <f aca="false">C8</f>
        <v>15-SCTN</v>
      </c>
      <c r="D18" s="10" t="n">
        <f aca="false">SUM(G8:G8)</f>
        <v>5</v>
      </c>
      <c r="E18" s="10" t="n">
        <f aca="false">SUM(M8:M8)</f>
        <v>2750</v>
      </c>
      <c r="F18" s="10" t="n">
        <f aca="false">ROUND(E18*5%,2)</f>
        <v>137.5</v>
      </c>
      <c r="G18" s="10" t="n">
        <f aca="false">E18+F18</f>
        <v>2887.5</v>
      </c>
    </row>
    <row r="19" customFormat="false" ht="19.5" hidden="false" customHeight="true" outlineLevel="0" collapsed="false">
      <c r="A19" s="11" t="s">
        <v>35</v>
      </c>
      <c r="B19" s="12"/>
      <c r="C19" s="12"/>
      <c r="D19" s="13" t="n">
        <f aca="false">SUM(D13:D18)</f>
        <v>30</v>
      </c>
      <c r="E19" s="13" t="n">
        <f aca="false">SUM(E13:E18)</f>
        <v>17750</v>
      </c>
      <c r="F19" s="13" t="n">
        <f aca="false">SUM(F13:F18)</f>
        <v>887.5</v>
      </c>
      <c r="G19" s="13" t="n">
        <f aca="false">SUM(G13:G18)</f>
        <v>18637.5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2026-09-05T11:25:29Z</dcterms:created>
  <dc:creator>openpyxl</dc:creator>
  <dc:description/>
  <dc:language>en-US</dc:language>
  <cp:lastModifiedBy/>
  <dcterms:modified xsi:type="dcterms:W3CDTF">2026-09-10T07:16:17Z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