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C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32" authorId="0">
      <text>
        <r>
          <rPr>
            <sz val="10"/>
            <rFont val="Arial"/>
            <family val="2"/>
          </rPr>
          <t xml:space="preserve">Corrected: 5% GST on total taxable value (rounded once), matching the official bill total. Summing the already-rounded per-row GST values gave 8439.54, which was off by a rounding difference.</t>
        </r>
      </text>
    </comment>
  </commentList>
</comments>
</file>

<file path=xl/sharedStrings.xml><?xml version="1.0" encoding="utf-8"?>
<sst xmlns="http://schemas.openxmlformats.org/spreadsheetml/2006/main" count="179" uniqueCount="64">
  <si>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</si>
  <si>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</si>
  <si>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</si>
  <si>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</si>
  <si>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</si>
  <si>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</si>
  <si>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</si>
  <si>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</si>
  <si>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</si>
  <si>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</si>
  <si>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</si>
  <si>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</si>
  <si>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</si>
  <si>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</si>
  <si>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</si>
  <si>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</si>
  <si>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</si>
  <si>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</si>
  <si>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</si>
  <si>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</si>
  <si>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</si>
  <si>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</si>
  <si>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</si>
  <si>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</si>
  <si>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</si>
  <si>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8A3181</t>
  </si>
  <si>
    <t xml:space="preserve">MS-NEW</t>
  </si>
  <si>
    <t xml:space="preserve">50072090</t>
  </si>
  <si>
    <t xml:space="preserve">GST 5 %</t>
  </si>
  <si>
    <t xml:space="preserve">Pc(s)</t>
  </si>
  <si>
    <t xml:space="preserve">8A3182</t>
  </si>
  <si>
    <t xml:space="preserve">8A3183</t>
  </si>
  <si>
    <t xml:space="preserve">8A3184</t>
  </si>
  <si>
    <t xml:space="preserve">8A3185</t>
  </si>
  <si>
    <t xml:space="preserve">8A3186</t>
  </si>
  <si>
    <t xml:space="preserve">8A3187</t>
  </si>
  <si>
    <t xml:space="preserve">8A3188</t>
  </si>
  <si>
    <t xml:space="preserve">8A3189</t>
  </si>
  <si>
    <t xml:space="preserve">8A3190</t>
  </si>
  <si>
    <t xml:space="preserve">520811</t>
  </si>
  <si>
    <t xml:space="preserve">8A3191</t>
  </si>
  <si>
    <t xml:space="preserve">8A3192</t>
  </si>
  <si>
    <t xml:space="preserve">8A3193</t>
  </si>
  <si>
    <t xml:space="preserve">8A3194</t>
  </si>
  <si>
    <t xml:space="preserve">8A3195</t>
  </si>
  <si>
    <t xml:space="preserve">8A3196</t>
  </si>
  <si>
    <t xml:space="preserve">8A3197</t>
  </si>
  <si>
    <t xml:space="preserve">8A3198</t>
  </si>
  <si>
    <t xml:space="preserve">8A3199</t>
  </si>
  <si>
    <t xml:space="preserve">8A3200</t>
  </si>
  <si>
    <t xml:space="preserve">8A3201</t>
  </si>
  <si>
    <t xml:space="preserve">8A3202</t>
  </si>
  <si>
    <t xml:space="preserve">8A3203</t>
  </si>
  <si>
    <t xml:space="preserve">8A3204</t>
  </si>
  <si>
    <t xml:space="preserve">8A3205</t>
  </si>
  <si>
    <t xml:space="preserve">8A3206</t>
  </si>
  <si>
    <t xml:space="preserve">8A3207</t>
  </si>
  <si>
    <t xml:space="preserve">8A3208</t>
  </si>
  <si>
    <t xml:space="preserve">8A3209</t>
  </si>
  <si>
    <t xml:space="preserve">Total</t>
  </si>
  <si>
    <t xml:space="preserve">Bill Sl No.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</si>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</sst>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1F497D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305496"/>
      </patternFill>
    </fill>
    <fill>
      <patternFill patternType="solid">
        <fgColor rgb="FFD9E1F2"/>
        <bgColor rgb="FFD9D9D9"/>
      </patternFill>
    </fill>
    <fill>
      <patternFill patternType="solid">
        <fgColor rgb="FF305496"/>
        <bgColor rgb="FF1F497D"/>
      </patternFill>
    </fill>
    <fill>
      <patternFill patternType="solid">
        <fgColor rgb="FFF2F2F2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double"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05496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0"/>
    <col collapsed="false" customWidth="true" hidden="false" outlineLevel="0" max="5" min="4" style="1" width="11"/>
    <col collapsed="false" customWidth="true" hidden="false" outlineLevel="0" max="6" min="6" style="1" width="14"/>
    <col collapsed="false" customWidth="true" hidden="false" outlineLevel="0" max="8" min="7" style="1" width="15"/>
    <col collapsed="false" customWidth="true" hidden="false" outlineLevel="0" max="9" min="9" style="1" width="16"/>
    <col collapsed="false" customWidth="true" hidden="false" outlineLevel="0" max="20" min="10" style="1" width="15"/>
    <col collapsed="false" customWidth="true" hidden="false" outlineLevel="0" max="22" min="21" style="1" width="10"/>
  </cols>
  <sheetData>
    <row r="1" customFormat="false" ht="15" hidden="false" customHeight="true" outlineLevel="0" collapsed="false">
      <c r="A1" s="2" t="s">
        <v>0</v>
      </c>
      <c r="B1" s="2" t="s">
        <v>1</v>
      </c>
      <c r="C1" s="2"/>
      <c r="D1" s="2"/>
      <c r="E1" s="2"/>
      <c r="F1" s="2"/>
      <c r="G1" s="2" t="s">
        <v>2</v>
      </c>
      <c r="H1" s="2" t="s">
        <v>3</v>
      </c>
      <c r="I1" s="2" t="s">
        <v>4</v>
      </c>
      <c r="J1" s="2" t="s">
        <v>5</v>
      </c>
      <c r="K1" s="2"/>
      <c r="L1" s="2" t="s">
        <v>6</v>
      </c>
      <c r="M1" s="2" t="s">
        <v>7</v>
      </c>
      <c r="N1" s="2" t="s">
        <v>8</v>
      </c>
      <c r="O1" s="2"/>
      <c r="P1" s="2"/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</row>
    <row r="2" customFormat="false" ht="15" hidden="false" customHeight="true" outlineLevel="0" collapsed="false">
      <c r="A2" s="2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/>
      <c r="H2" s="2"/>
      <c r="I2" s="2"/>
      <c r="J2" s="2" t="s">
        <v>20</v>
      </c>
      <c r="K2" s="2" t="s">
        <v>21</v>
      </c>
      <c r="L2" s="2"/>
      <c r="M2" s="2"/>
      <c r="N2" s="2" t="s">
        <v>22</v>
      </c>
      <c r="O2" s="2" t="s">
        <v>23</v>
      </c>
      <c r="P2" s="2" t="s">
        <v>24</v>
      </c>
      <c r="Q2" s="2"/>
      <c r="R2" s="2"/>
      <c r="S2" s="2"/>
      <c r="T2" s="2"/>
      <c r="U2" s="2"/>
      <c r="V2" s="2"/>
    </row>
    <row r="3" customFormat="false" ht="15" hidden="false" customHeight="true" outlineLevel="0" collapsed="false">
      <c r="A3" s="3" t="n">
        <v>1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4" t="n">
        <v>2</v>
      </c>
      <c r="H3" s="3"/>
      <c r="I3" s="4" t="n">
        <v>6530</v>
      </c>
      <c r="J3" s="4" t="n">
        <v>457.1</v>
      </c>
      <c r="K3" s="4" t="n">
        <v>0</v>
      </c>
      <c r="L3" s="4" t="n">
        <v>6072.9</v>
      </c>
      <c r="M3" s="4" t="n">
        <v>12145.8</v>
      </c>
      <c r="N3" s="4" t="n">
        <v>607.29</v>
      </c>
      <c r="O3" s="4" t="n">
        <v>0</v>
      </c>
      <c r="P3" s="4" t="n">
        <v>0</v>
      </c>
      <c r="Q3" s="4" t="n">
        <v>12753.09</v>
      </c>
      <c r="R3" s="4" t="n">
        <v>10480</v>
      </c>
      <c r="S3" s="4" t="n">
        <v>7509.5</v>
      </c>
      <c r="T3" s="4" t="n">
        <v>8489</v>
      </c>
      <c r="U3" s="3"/>
      <c r="V3" s="3"/>
    </row>
    <row r="4" customFormat="false" ht="15" hidden="false" customHeight="true" outlineLevel="0" collapsed="false">
      <c r="A4" s="3" t="n">
        <v>2</v>
      </c>
      <c r="B4" s="3" t="s">
        <v>30</v>
      </c>
      <c r="C4" s="3" t="s">
        <v>26</v>
      </c>
      <c r="D4" s="3" t="s">
        <v>27</v>
      </c>
      <c r="E4" s="3" t="s">
        <v>28</v>
      </c>
      <c r="F4" s="3" t="s">
        <v>29</v>
      </c>
      <c r="G4" s="4" t="n">
        <v>2</v>
      </c>
      <c r="H4" s="3"/>
      <c r="I4" s="4" t="n">
        <v>6670</v>
      </c>
      <c r="J4" s="4" t="n">
        <v>466.9</v>
      </c>
      <c r="K4" s="4" t="n">
        <v>0</v>
      </c>
      <c r="L4" s="4" t="n">
        <v>6203.1</v>
      </c>
      <c r="M4" s="4" t="n">
        <v>12406.2</v>
      </c>
      <c r="N4" s="4" t="n">
        <v>620.31</v>
      </c>
      <c r="O4" s="4" t="n">
        <v>0</v>
      </c>
      <c r="P4" s="4" t="n">
        <v>0</v>
      </c>
      <c r="Q4" s="4" t="n">
        <v>13026.51</v>
      </c>
      <c r="R4" s="4" t="n">
        <v>10680</v>
      </c>
      <c r="S4" s="4" t="n">
        <v>7670.5</v>
      </c>
      <c r="T4" s="4" t="n">
        <v>8671</v>
      </c>
      <c r="U4" s="3"/>
      <c r="V4" s="3"/>
    </row>
    <row r="5" customFormat="false" ht="15" hidden="false" customHeight="true" outlineLevel="0" collapsed="false">
      <c r="A5" s="3" t="n">
        <v>3</v>
      </c>
      <c r="B5" s="3" t="s">
        <v>31</v>
      </c>
      <c r="C5" s="3" t="s">
        <v>26</v>
      </c>
      <c r="D5" s="3" t="s">
        <v>27</v>
      </c>
      <c r="E5" s="3" t="s">
        <v>28</v>
      </c>
      <c r="F5" s="3" t="s">
        <v>29</v>
      </c>
      <c r="G5" s="4" t="n">
        <v>2</v>
      </c>
      <c r="H5" s="3"/>
      <c r="I5" s="4" t="n">
        <v>6800</v>
      </c>
      <c r="J5" s="4" t="n">
        <v>476</v>
      </c>
      <c r="K5" s="4" t="n">
        <v>0</v>
      </c>
      <c r="L5" s="4" t="n">
        <v>6324</v>
      </c>
      <c r="M5" s="4" t="n">
        <v>12648</v>
      </c>
      <c r="N5" s="4" t="n">
        <v>632.4</v>
      </c>
      <c r="O5" s="4" t="n">
        <v>0</v>
      </c>
      <c r="P5" s="4" t="n">
        <v>0</v>
      </c>
      <c r="Q5" s="4" t="n">
        <v>13280.4</v>
      </c>
      <c r="R5" s="4" t="n">
        <v>10880</v>
      </c>
      <c r="S5" s="4" t="n">
        <v>7820</v>
      </c>
      <c r="T5" s="4" t="n">
        <v>8840</v>
      </c>
      <c r="U5" s="3"/>
      <c r="V5" s="3"/>
    </row>
    <row r="6" customFormat="false" ht="15" hidden="false" customHeight="true" outlineLevel="0" collapsed="false">
      <c r="A6" s="3" t="n">
        <v>4</v>
      </c>
      <c r="B6" s="3" t="s">
        <v>32</v>
      </c>
      <c r="C6" s="3" t="s">
        <v>26</v>
      </c>
      <c r="D6" s="3" t="s">
        <v>27</v>
      </c>
      <c r="E6" s="3" t="s">
        <v>28</v>
      </c>
      <c r="F6" s="3" t="s">
        <v>29</v>
      </c>
      <c r="G6" s="4" t="n">
        <v>2</v>
      </c>
      <c r="H6" s="3"/>
      <c r="I6" s="4" t="n">
        <v>6940</v>
      </c>
      <c r="J6" s="4" t="n">
        <v>485.8</v>
      </c>
      <c r="K6" s="4" t="n">
        <v>0</v>
      </c>
      <c r="L6" s="4" t="n">
        <v>6454.2</v>
      </c>
      <c r="M6" s="4" t="n">
        <v>12908.4</v>
      </c>
      <c r="N6" s="4" t="n">
        <v>645.42</v>
      </c>
      <c r="O6" s="4" t="n">
        <v>0</v>
      </c>
      <c r="P6" s="4" t="n">
        <v>0</v>
      </c>
      <c r="Q6" s="4" t="n">
        <v>13553.82</v>
      </c>
      <c r="R6" s="4" t="n">
        <v>11180</v>
      </c>
      <c r="S6" s="4" t="n">
        <v>7981</v>
      </c>
      <c r="T6" s="4" t="n">
        <v>9022</v>
      </c>
      <c r="U6" s="3"/>
      <c r="V6" s="3"/>
    </row>
    <row r="7" customFormat="false" ht="15" hidden="false" customHeight="true" outlineLevel="0" collapsed="false">
      <c r="A7" s="3" t="n">
        <v>5</v>
      </c>
      <c r="B7" s="3" t="s">
        <v>33</v>
      </c>
      <c r="C7" s="3" t="s">
        <v>26</v>
      </c>
      <c r="D7" s="3" t="s">
        <v>27</v>
      </c>
      <c r="E7" s="3" t="s">
        <v>28</v>
      </c>
      <c r="F7" s="3" t="s">
        <v>29</v>
      </c>
      <c r="G7" s="4" t="n">
        <v>2</v>
      </c>
      <c r="H7" s="3"/>
      <c r="I7" s="4" t="n">
        <v>7090</v>
      </c>
      <c r="J7" s="4" t="n">
        <v>496.3</v>
      </c>
      <c r="K7" s="4" t="n">
        <v>0</v>
      </c>
      <c r="L7" s="4" t="n">
        <v>6593.7</v>
      </c>
      <c r="M7" s="4" t="n">
        <v>13187.4</v>
      </c>
      <c r="N7" s="4" t="n">
        <v>659.37</v>
      </c>
      <c r="O7" s="4" t="n">
        <v>0</v>
      </c>
      <c r="P7" s="4" t="n">
        <v>0</v>
      </c>
      <c r="Q7" s="4" t="n">
        <v>13846.77</v>
      </c>
      <c r="R7" s="4" t="n">
        <v>11380</v>
      </c>
      <c r="S7" s="4" t="n">
        <v>8153.5</v>
      </c>
      <c r="T7" s="4" t="n">
        <v>9217</v>
      </c>
      <c r="U7" s="3"/>
      <c r="V7" s="3"/>
    </row>
    <row r="8" customFormat="false" ht="15" hidden="false" customHeight="true" outlineLevel="0" collapsed="false">
      <c r="A8" s="3" t="n">
        <v>6</v>
      </c>
      <c r="B8" s="3" t="s">
        <v>34</v>
      </c>
      <c r="C8" s="3" t="s">
        <v>26</v>
      </c>
      <c r="D8" s="3" t="s">
        <v>27</v>
      </c>
      <c r="E8" s="3" t="s">
        <v>28</v>
      </c>
      <c r="F8" s="3" t="s">
        <v>29</v>
      </c>
      <c r="G8" s="4" t="n">
        <v>2</v>
      </c>
      <c r="H8" s="3"/>
      <c r="I8" s="4" t="n">
        <v>2350</v>
      </c>
      <c r="J8" s="4" t="n">
        <v>164.5</v>
      </c>
      <c r="K8" s="4" t="n">
        <v>0</v>
      </c>
      <c r="L8" s="4" t="n">
        <v>2185.5</v>
      </c>
      <c r="M8" s="4" t="n">
        <v>4371</v>
      </c>
      <c r="N8" s="4" t="n">
        <v>218.55</v>
      </c>
      <c r="O8" s="4" t="n">
        <v>0</v>
      </c>
      <c r="P8" s="4" t="n">
        <v>0</v>
      </c>
      <c r="Q8" s="4" t="n">
        <v>4589.55</v>
      </c>
      <c r="R8" s="4" t="n">
        <v>3980</v>
      </c>
      <c r="S8" s="4" t="n">
        <v>2702.5</v>
      </c>
      <c r="T8" s="4" t="n">
        <v>3055</v>
      </c>
      <c r="U8" s="3"/>
      <c r="V8" s="3"/>
    </row>
    <row r="9" customFormat="false" ht="15" hidden="false" customHeight="true" outlineLevel="0" collapsed="false">
      <c r="A9" s="3" t="n">
        <v>7</v>
      </c>
      <c r="B9" s="3" t="s">
        <v>35</v>
      </c>
      <c r="C9" s="3" t="s">
        <v>26</v>
      </c>
      <c r="D9" s="3" t="s">
        <v>27</v>
      </c>
      <c r="E9" s="3" t="s">
        <v>28</v>
      </c>
      <c r="F9" s="3" t="s">
        <v>29</v>
      </c>
      <c r="G9" s="4" t="n">
        <v>2</v>
      </c>
      <c r="H9" s="3"/>
      <c r="I9" s="4" t="n">
        <v>2400</v>
      </c>
      <c r="J9" s="4" t="n">
        <v>168</v>
      </c>
      <c r="K9" s="4" t="n">
        <v>0</v>
      </c>
      <c r="L9" s="4" t="n">
        <v>2232</v>
      </c>
      <c r="M9" s="4" t="n">
        <v>4464</v>
      </c>
      <c r="N9" s="4" t="n">
        <v>223.2</v>
      </c>
      <c r="O9" s="4" t="n">
        <v>0</v>
      </c>
      <c r="P9" s="4" t="n">
        <v>0</v>
      </c>
      <c r="Q9" s="4" t="n">
        <v>4687.2</v>
      </c>
      <c r="R9" s="4" t="n">
        <v>3980</v>
      </c>
      <c r="S9" s="4" t="n">
        <v>2760</v>
      </c>
      <c r="T9" s="4" t="n">
        <v>3120</v>
      </c>
      <c r="U9" s="3"/>
      <c r="V9" s="3"/>
    </row>
    <row r="10" customFormat="false" ht="15" hidden="false" customHeight="true" outlineLevel="0" collapsed="false">
      <c r="A10" s="3" t="n">
        <v>8</v>
      </c>
      <c r="B10" s="3" t="s">
        <v>36</v>
      </c>
      <c r="C10" s="3" t="s">
        <v>26</v>
      </c>
      <c r="D10" s="3" t="s">
        <v>27</v>
      </c>
      <c r="E10" s="3" t="s">
        <v>28</v>
      </c>
      <c r="F10" s="3" t="s">
        <v>29</v>
      </c>
      <c r="G10" s="4" t="n">
        <v>3</v>
      </c>
      <c r="H10" s="3"/>
      <c r="I10" s="4" t="n">
        <v>2450</v>
      </c>
      <c r="J10" s="4" t="n">
        <v>171.5</v>
      </c>
      <c r="K10" s="4" t="n">
        <v>0</v>
      </c>
      <c r="L10" s="4" t="n">
        <v>2278.5</v>
      </c>
      <c r="M10" s="4" t="n">
        <v>6835.5</v>
      </c>
      <c r="N10" s="4" t="n">
        <v>341.78</v>
      </c>
      <c r="O10" s="4" t="n">
        <v>0</v>
      </c>
      <c r="P10" s="4" t="n">
        <v>0</v>
      </c>
      <c r="Q10" s="4" t="n">
        <v>7177.28</v>
      </c>
      <c r="R10" s="4" t="n">
        <v>3980</v>
      </c>
      <c r="S10" s="4" t="n">
        <v>2817.5</v>
      </c>
      <c r="T10" s="4" t="n">
        <v>3185</v>
      </c>
      <c r="U10" s="3"/>
      <c r="V10" s="3"/>
    </row>
    <row r="11" customFormat="false" ht="15" hidden="false" customHeight="true" outlineLevel="0" collapsed="false">
      <c r="A11" s="3" t="n">
        <v>9</v>
      </c>
      <c r="B11" s="3" t="s">
        <v>37</v>
      </c>
      <c r="C11" s="3" t="s">
        <v>26</v>
      </c>
      <c r="D11" s="3" t="s">
        <v>27</v>
      </c>
      <c r="E11" s="3" t="s">
        <v>28</v>
      </c>
      <c r="F11" s="3" t="s">
        <v>29</v>
      </c>
      <c r="G11" s="4" t="n">
        <v>2</v>
      </c>
      <c r="H11" s="3"/>
      <c r="I11" s="4" t="n">
        <v>2550</v>
      </c>
      <c r="J11" s="4" t="n">
        <v>178.5</v>
      </c>
      <c r="K11" s="4" t="n">
        <v>0</v>
      </c>
      <c r="L11" s="4" t="n">
        <v>2371.5</v>
      </c>
      <c r="M11" s="4" t="n">
        <v>4743</v>
      </c>
      <c r="N11" s="4" t="n">
        <v>237.15</v>
      </c>
      <c r="O11" s="4" t="n">
        <v>0</v>
      </c>
      <c r="P11" s="4" t="n">
        <v>0</v>
      </c>
      <c r="Q11" s="4" t="n">
        <v>4980.15</v>
      </c>
      <c r="R11" s="4" t="n">
        <v>4380</v>
      </c>
      <c r="S11" s="4" t="n">
        <v>2932.5</v>
      </c>
      <c r="T11" s="4" t="n">
        <v>3315</v>
      </c>
      <c r="U11" s="3"/>
      <c r="V11" s="3"/>
    </row>
    <row r="12" customFormat="false" ht="15" hidden="false" customHeight="true" outlineLevel="0" collapsed="false">
      <c r="A12" s="3" t="n">
        <v>10</v>
      </c>
      <c r="B12" s="3" t="s">
        <v>38</v>
      </c>
      <c r="C12" s="3" t="s">
        <v>26</v>
      </c>
      <c r="D12" s="3" t="s">
        <v>39</v>
      </c>
      <c r="E12" s="3" t="s">
        <v>28</v>
      </c>
      <c r="F12" s="3" t="s">
        <v>29</v>
      </c>
      <c r="G12" s="4" t="n">
        <v>3</v>
      </c>
      <c r="H12" s="3"/>
      <c r="I12" s="4" t="n">
        <v>2540</v>
      </c>
      <c r="J12" s="4" t="n">
        <v>177.8</v>
      </c>
      <c r="K12" s="4" t="n">
        <v>0</v>
      </c>
      <c r="L12" s="4" t="n">
        <v>2362.2</v>
      </c>
      <c r="M12" s="4" t="n">
        <v>7086.6</v>
      </c>
      <c r="N12" s="4" t="n">
        <v>354.33</v>
      </c>
      <c r="O12" s="4" t="n">
        <v>0</v>
      </c>
      <c r="P12" s="4" t="n">
        <v>0</v>
      </c>
      <c r="Q12" s="4" t="n">
        <v>7440.93</v>
      </c>
      <c r="R12" s="4" t="n">
        <v>4380</v>
      </c>
      <c r="S12" s="4" t="n">
        <v>2921</v>
      </c>
      <c r="T12" s="4" t="n">
        <v>3302</v>
      </c>
      <c r="U12" s="3"/>
      <c r="V12" s="3"/>
    </row>
    <row r="13" customFormat="false" ht="15" hidden="false" customHeight="true" outlineLevel="0" collapsed="false">
      <c r="A13" s="3" t="n">
        <v>11</v>
      </c>
      <c r="B13" s="3" t="s">
        <v>40</v>
      </c>
      <c r="C13" s="3" t="s">
        <v>26</v>
      </c>
      <c r="D13" s="3" t="s">
        <v>39</v>
      </c>
      <c r="E13" s="3" t="s">
        <v>28</v>
      </c>
      <c r="F13" s="3" t="s">
        <v>29</v>
      </c>
      <c r="G13" s="4" t="n">
        <v>8</v>
      </c>
      <c r="H13" s="3"/>
      <c r="I13" s="4" t="n">
        <v>2880</v>
      </c>
      <c r="J13" s="4" t="n">
        <v>201.6</v>
      </c>
      <c r="K13" s="4" t="n">
        <v>0</v>
      </c>
      <c r="L13" s="4" t="n">
        <v>2678.4</v>
      </c>
      <c r="M13" s="4" t="n">
        <v>21427.2</v>
      </c>
      <c r="N13" s="4" t="n">
        <v>1071.36</v>
      </c>
      <c r="O13" s="4" t="n">
        <v>0</v>
      </c>
      <c r="P13" s="4" t="n">
        <v>0</v>
      </c>
      <c r="Q13" s="4" t="n">
        <v>22498.56</v>
      </c>
      <c r="R13" s="4" t="n">
        <v>4890</v>
      </c>
      <c r="S13" s="4" t="n">
        <v>3312</v>
      </c>
      <c r="T13" s="4" t="n">
        <v>3744</v>
      </c>
      <c r="U13" s="3"/>
      <c r="V13" s="3"/>
    </row>
    <row r="14" customFormat="false" ht="15" hidden="false" customHeight="true" outlineLevel="0" collapsed="false">
      <c r="A14" s="3" t="n">
        <v>12</v>
      </c>
      <c r="B14" s="3" t="s">
        <v>41</v>
      </c>
      <c r="C14" s="3" t="s">
        <v>26</v>
      </c>
      <c r="D14" s="3" t="s">
        <v>39</v>
      </c>
      <c r="E14" s="3" t="s">
        <v>28</v>
      </c>
      <c r="F14" s="3" t="s">
        <v>29</v>
      </c>
      <c r="G14" s="4" t="n">
        <v>5</v>
      </c>
      <c r="H14" s="3"/>
      <c r="I14" s="4" t="n">
        <v>620</v>
      </c>
      <c r="J14" s="4" t="n">
        <v>43.4</v>
      </c>
      <c r="K14" s="4" t="n">
        <v>0</v>
      </c>
      <c r="L14" s="4" t="n">
        <v>576.6</v>
      </c>
      <c r="M14" s="4" t="n">
        <v>2883</v>
      </c>
      <c r="N14" s="4" t="n">
        <v>144.15</v>
      </c>
      <c r="O14" s="4" t="n">
        <v>0</v>
      </c>
      <c r="P14" s="4" t="n">
        <v>0</v>
      </c>
      <c r="Q14" s="4" t="n">
        <v>3027.15</v>
      </c>
      <c r="R14" s="4" t="n">
        <v>1080</v>
      </c>
      <c r="S14" s="4" t="n">
        <v>713</v>
      </c>
      <c r="T14" s="4" t="n">
        <v>806</v>
      </c>
      <c r="U14" s="3"/>
      <c r="V14" s="3"/>
    </row>
    <row r="15" customFormat="false" ht="15" hidden="false" customHeight="true" outlineLevel="0" collapsed="false">
      <c r="A15" s="3" t="n">
        <v>13</v>
      </c>
      <c r="B15" s="3" t="s">
        <v>42</v>
      </c>
      <c r="C15" s="3" t="s">
        <v>26</v>
      </c>
      <c r="D15" s="3" t="s">
        <v>39</v>
      </c>
      <c r="E15" s="3" t="s">
        <v>28</v>
      </c>
      <c r="F15" s="3" t="s">
        <v>29</v>
      </c>
      <c r="G15" s="4" t="n">
        <v>5</v>
      </c>
      <c r="H15" s="3"/>
      <c r="I15" s="4" t="n">
        <v>650</v>
      </c>
      <c r="J15" s="4" t="n">
        <v>45.5</v>
      </c>
      <c r="K15" s="4" t="n">
        <v>0</v>
      </c>
      <c r="L15" s="4" t="n">
        <v>604.5</v>
      </c>
      <c r="M15" s="4" t="n">
        <v>3022.5</v>
      </c>
      <c r="N15" s="4" t="n">
        <v>151.13</v>
      </c>
      <c r="O15" s="4" t="n">
        <v>0</v>
      </c>
      <c r="P15" s="4" t="n">
        <v>0</v>
      </c>
      <c r="Q15" s="4" t="n">
        <v>3173.63</v>
      </c>
      <c r="R15" s="4" t="n">
        <v>1080</v>
      </c>
      <c r="S15" s="4" t="n">
        <v>747.5</v>
      </c>
      <c r="T15" s="4" t="n">
        <v>845</v>
      </c>
      <c r="U15" s="3"/>
      <c r="V15" s="3"/>
    </row>
    <row r="16" customFormat="false" ht="15" hidden="false" customHeight="true" outlineLevel="0" collapsed="false">
      <c r="A16" s="3" t="n">
        <v>14</v>
      </c>
      <c r="B16" s="3" t="s">
        <v>43</v>
      </c>
      <c r="C16" s="3" t="s">
        <v>26</v>
      </c>
      <c r="D16" s="3" t="s">
        <v>39</v>
      </c>
      <c r="E16" s="3" t="s">
        <v>28</v>
      </c>
      <c r="F16" s="3" t="s">
        <v>29</v>
      </c>
      <c r="G16" s="4" t="n">
        <v>5</v>
      </c>
      <c r="H16" s="3"/>
      <c r="I16" s="4" t="n">
        <v>680</v>
      </c>
      <c r="J16" s="4" t="n">
        <v>47.6</v>
      </c>
      <c r="K16" s="4" t="n">
        <v>0</v>
      </c>
      <c r="L16" s="4" t="n">
        <v>632.4</v>
      </c>
      <c r="M16" s="4" t="n">
        <v>3162</v>
      </c>
      <c r="N16" s="4" t="n">
        <v>158.1</v>
      </c>
      <c r="O16" s="4" t="n">
        <v>0</v>
      </c>
      <c r="P16" s="4" t="n">
        <v>0</v>
      </c>
      <c r="Q16" s="4" t="n">
        <v>3320.1</v>
      </c>
      <c r="R16" s="4" t="n">
        <v>1080</v>
      </c>
      <c r="S16" s="4" t="n">
        <v>782</v>
      </c>
      <c r="T16" s="4" t="n">
        <v>884</v>
      </c>
      <c r="U16" s="3"/>
      <c r="V16" s="3"/>
    </row>
    <row r="17" customFormat="false" ht="15" hidden="false" customHeight="true" outlineLevel="0" collapsed="false">
      <c r="A17" s="3" t="n">
        <v>15</v>
      </c>
      <c r="B17" s="3" t="s">
        <v>44</v>
      </c>
      <c r="C17" s="3" t="s">
        <v>26</v>
      </c>
      <c r="D17" s="3" t="s">
        <v>39</v>
      </c>
      <c r="E17" s="3" t="s">
        <v>28</v>
      </c>
      <c r="F17" s="3" t="s">
        <v>29</v>
      </c>
      <c r="G17" s="4" t="n">
        <v>3</v>
      </c>
      <c r="H17" s="3"/>
      <c r="I17" s="4" t="n">
        <v>740</v>
      </c>
      <c r="J17" s="4" t="n">
        <v>51.8</v>
      </c>
      <c r="K17" s="4" t="n">
        <v>0</v>
      </c>
      <c r="L17" s="4" t="n">
        <v>688.2</v>
      </c>
      <c r="M17" s="4" t="n">
        <v>2064.6</v>
      </c>
      <c r="N17" s="4" t="n">
        <v>103.23</v>
      </c>
      <c r="O17" s="4" t="n">
        <v>0</v>
      </c>
      <c r="P17" s="4" t="n">
        <v>0</v>
      </c>
      <c r="Q17" s="4" t="n">
        <v>2167.83</v>
      </c>
      <c r="R17" s="4" t="n">
        <v>1180</v>
      </c>
      <c r="S17" s="4" t="n">
        <v>851</v>
      </c>
      <c r="T17" s="4" t="n">
        <v>962</v>
      </c>
      <c r="U17" s="3"/>
      <c r="V17" s="3"/>
    </row>
    <row r="18" customFormat="false" ht="15" hidden="false" customHeight="true" outlineLevel="0" collapsed="false">
      <c r="A18" s="3" t="n">
        <v>16</v>
      </c>
      <c r="B18" s="3" t="s">
        <v>45</v>
      </c>
      <c r="C18" s="3" t="s">
        <v>26</v>
      </c>
      <c r="D18" s="3" t="s">
        <v>39</v>
      </c>
      <c r="E18" s="3" t="s">
        <v>28</v>
      </c>
      <c r="F18" s="3" t="s">
        <v>29</v>
      </c>
      <c r="G18" s="4" t="n">
        <v>5</v>
      </c>
      <c r="H18" s="3"/>
      <c r="I18" s="4" t="n">
        <v>840</v>
      </c>
      <c r="J18" s="4" t="n">
        <v>58.8</v>
      </c>
      <c r="K18" s="4" t="n">
        <v>0</v>
      </c>
      <c r="L18" s="4" t="n">
        <v>781.2</v>
      </c>
      <c r="M18" s="4" t="n">
        <v>3906</v>
      </c>
      <c r="N18" s="4" t="n">
        <v>195.3</v>
      </c>
      <c r="O18" s="4" t="n">
        <v>0</v>
      </c>
      <c r="P18" s="4" t="n">
        <v>0</v>
      </c>
      <c r="Q18" s="4" t="n">
        <v>4101.3</v>
      </c>
      <c r="R18" s="4" t="n">
        <v>1380</v>
      </c>
      <c r="S18" s="4" t="n">
        <v>966</v>
      </c>
      <c r="T18" s="4" t="n">
        <v>1092</v>
      </c>
      <c r="U18" s="3"/>
      <c r="V18" s="3"/>
    </row>
    <row r="19" customFormat="false" ht="15" hidden="false" customHeight="true" outlineLevel="0" collapsed="false">
      <c r="A19" s="3" t="n">
        <v>17</v>
      </c>
      <c r="B19" s="3" t="s">
        <v>46</v>
      </c>
      <c r="C19" s="3" t="s">
        <v>26</v>
      </c>
      <c r="D19" s="3" t="s">
        <v>39</v>
      </c>
      <c r="E19" s="3" t="s">
        <v>28</v>
      </c>
      <c r="F19" s="3" t="s">
        <v>29</v>
      </c>
      <c r="G19" s="4" t="n">
        <v>5</v>
      </c>
      <c r="H19" s="3"/>
      <c r="I19" s="4" t="n">
        <v>880</v>
      </c>
      <c r="J19" s="4" t="n">
        <v>61.6</v>
      </c>
      <c r="K19" s="4" t="n">
        <v>0</v>
      </c>
      <c r="L19" s="4" t="n">
        <v>818.4</v>
      </c>
      <c r="M19" s="4" t="n">
        <v>4092</v>
      </c>
      <c r="N19" s="4" t="n">
        <v>204.6</v>
      </c>
      <c r="O19" s="4" t="n">
        <v>0</v>
      </c>
      <c r="P19" s="4" t="n">
        <v>0</v>
      </c>
      <c r="Q19" s="4" t="n">
        <v>4296.6</v>
      </c>
      <c r="R19" s="4" t="n">
        <v>1440</v>
      </c>
      <c r="S19" s="4" t="n">
        <v>1012</v>
      </c>
      <c r="T19" s="4" t="n">
        <v>1144</v>
      </c>
      <c r="U19" s="3"/>
      <c r="V19" s="3"/>
    </row>
    <row r="20" customFormat="false" ht="15" hidden="false" customHeight="true" outlineLevel="0" collapsed="false">
      <c r="A20" s="3" t="n">
        <v>18</v>
      </c>
      <c r="B20" s="3" t="s">
        <v>47</v>
      </c>
      <c r="C20" s="3" t="s">
        <v>26</v>
      </c>
      <c r="D20" s="3" t="s">
        <v>39</v>
      </c>
      <c r="E20" s="3" t="s">
        <v>28</v>
      </c>
      <c r="F20" s="3" t="s">
        <v>29</v>
      </c>
      <c r="G20" s="4" t="n">
        <v>8</v>
      </c>
      <c r="H20" s="3"/>
      <c r="I20" s="4" t="n">
        <v>1040</v>
      </c>
      <c r="J20" s="4" t="n">
        <v>72.8</v>
      </c>
      <c r="K20" s="4" t="n">
        <v>0</v>
      </c>
      <c r="L20" s="4" t="n">
        <v>967.2</v>
      </c>
      <c r="M20" s="4" t="n">
        <v>7737.6</v>
      </c>
      <c r="N20" s="4" t="n">
        <v>386.88</v>
      </c>
      <c r="O20" s="4" t="n">
        <v>0</v>
      </c>
      <c r="P20" s="4" t="n">
        <v>0</v>
      </c>
      <c r="Q20" s="4" t="n">
        <v>8124.48</v>
      </c>
      <c r="R20" s="4" t="n">
        <v>1680</v>
      </c>
      <c r="S20" s="4" t="n">
        <v>1196</v>
      </c>
      <c r="T20" s="4" t="n">
        <v>1352</v>
      </c>
      <c r="U20" s="3"/>
      <c r="V20" s="3"/>
    </row>
    <row r="21" customFormat="false" ht="15" hidden="false" customHeight="true" outlineLevel="0" collapsed="false">
      <c r="A21" s="3" t="n">
        <v>19</v>
      </c>
      <c r="B21" s="3" t="s">
        <v>48</v>
      </c>
      <c r="C21" s="3" t="s">
        <v>26</v>
      </c>
      <c r="D21" s="3" t="s">
        <v>39</v>
      </c>
      <c r="E21" s="3" t="s">
        <v>28</v>
      </c>
      <c r="F21" s="3" t="s">
        <v>29</v>
      </c>
      <c r="G21" s="4" t="n">
        <v>10</v>
      </c>
      <c r="H21" s="3"/>
      <c r="I21" s="4" t="n">
        <v>370</v>
      </c>
      <c r="J21" s="4" t="n">
        <v>25.9</v>
      </c>
      <c r="K21" s="4" t="n">
        <v>0</v>
      </c>
      <c r="L21" s="4" t="n">
        <v>344.1</v>
      </c>
      <c r="M21" s="4" t="n">
        <v>3441</v>
      </c>
      <c r="N21" s="4" t="n">
        <v>172.05</v>
      </c>
      <c r="O21" s="4" t="n">
        <v>0</v>
      </c>
      <c r="P21" s="4" t="n">
        <v>0</v>
      </c>
      <c r="Q21" s="4" t="n">
        <v>3613.05</v>
      </c>
      <c r="R21" s="4" t="n">
        <v>660</v>
      </c>
      <c r="S21" s="4" t="n">
        <v>425.5</v>
      </c>
      <c r="T21" s="4" t="n">
        <v>481</v>
      </c>
      <c r="U21" s="3"/>
      <c r="V21" s="3"/>
    </row>
    <row r="22" customFormat="false" ht="15" hidden="false" customHeight="true" outlineLevel="0" collapsed="false">
      <c r="A22" s="3" t="n">
        <v>20</v>
      </c>
      <c r="B22" s="3" t="s">
        <v>49</v>
      </c>
      <c r="C22" s="3" t="s">
        <v>26</v>
      </c>
      <c r="D22" s="3" t="s">
        <v>39</v>
      </c>
      <c r="E22" s="3" t="s">
        <v>28</v>
      </c>
      <c r="F22" s="3" t="s">
        <v>29</v>
      </c>
      <c r="G22" s="4" t="n">
        <v>10</v>
      </c>
      <c r="H22" s="3"/>
      <c r="I22" s="4" t="n">
        <v>410</v>
      </c>
      <c r="J22" s="4" t="n">
        <v>28.7</v>
      </c>
      <c r="K22" s="4" t="n">
        <v>0</v>
      </c>
      <c r="L22" s="4" t="n">
        <v>381.3</v>
      </c>
      <c r="M22" s="4" t="n">
        <v>3813</v>
      </c>
      <c r="N22" s="4" t="n">
        <v>190.65</v>
      </c>
      <c r="O22" s="4" t="n">
        <v>0</v>
      </c>
      <c r="P22" s="4" t="n">
        <v>0</v>
      </c>
      <c r="Q22" s="4" t="n">
        <v>4003.65</v>
      </c>
      <c r="R22" s="4" t="n">
        <v>690</v>
      </c>
      <c r="S22" s="4" t="n">
        <v>471.5</v>
      </c>
      <c r="T22" s="4" t="n">
        <v>533</v>
      </c>
      <c r="U22" s="3"/>
      <c r="V22" s="3"/>
    </row>
    <row r="23" customFormat="false" ht="15" hidden="false" customHeight="true" outlineLevel="0" collapsed="false">
      <c r="A23" s="3" t="n">
        <v>21</v>
      </c>
      <c r="B23" s="3" t="s">
        <v>50</v>
      </c>
      <c r="C23" s="3" t="s">
        <v>26</v>
      </c>
      <c r="D23" s="3" t="s">
        <v>39</v>
      </c>
      <c r="E23" s="3" t="s">
        <v>28</v>
      </c>
      <c r="F23" s="3" t="s">
        <v>29</v>
      </c>
      <c r="G23" s="4" t="n">
        <v>5</v>
      </c>
      <c r="H23" s="3"/>
      <c r="I23" s="4" t="n">
        <v>470</v>
      </c>
      <c r="J23" s="4" t="n">
        <v>32.9</v>
      </c>
      <c r="K23" s="4" t="n">
        <v>0</v>
      </c>
      <c r="L23" s="4" t="n">
        <v>437.1</v>
      </c>
      <c r="M23" s="4" t="n">
        <v>2185.5</v>
      </c>
      <c r="N23" s="4" t="n">
        <v>109.28</v>
      </c>
      <c r="O23" s="4" t="n">
        <v>0</v>
      </c>
      <c r="P23" s="4" t="n">
        <v>0</v>
      </c>
      <c r="Q23" s="4" t="n">
        <v>2294.78</v>
      </c>
      <c r="R23" s="4" t="n">
        <v>790</v>
      </c>
      <c r="S23" s="4" t="n">
        <v>540.5</v>
      </c>
      <c r="T23" s="4" t="n">
        <v>611</v>
      </c>
      <c r="U23" s="3"/>
      <c r="V23" s="3"/>
    </row>
    <row r="24" customFormat="false" ht="15" hidden="false" customHeight="true" outlineLevel="0" collapsed="false">
      <c r="A24" s="3" t="n">
        <v>22</v>
      </c>
      <c r="B24" s="3" t="s">
        <v>51</v>
      </c>
      <c r="C24" s="3" t="s">
        <v>26</v>
      </c>
      <c r="D24" s="3" t="s">
        <v>39</v>
      </c>
      <c r="E24" s="3" t="s">
        <v>28</v>
      </c>
      <c r="F24" s="3" t="s">
        <v>29</v>
      </c>
      <c r="G24" s="4" t="n">
        <v>5</v>
      </c>
      <c r="H24" s="3"/>
      <c r="I24" s="4" t="n">
        <v>500</v>
      </c>
      <c r="J24" s="4" t="n">
        <v>35</v>
      </c>
      <c r="K24" s="4" t="n">
        <v>0</v>
      </c>
      <c r="L24" s="4" t="n">
        <v>465</v>
      </c>
      <c r="M24" s="4" t="n">
        <v>2325</v>
      </c>
      <c r="N24" s="4" t="n">
        <v>116.25</v>
      </c>
      <c r="O24" s="4" t="n">
        <v>0</v>
      </c>
      <c r="P24" s="4" t="n">
        <v>0</v>
      </c>
      <c r="Q24" s="4" t="n">
        <v>2441.25</v>
      </c>
      <c r="R24" s="4" t="n">
        <v>980</v>
      </c>
      <c r="S24" s="4" t="n">
        <v>575</v>
      </c>
      <c r="T24" s="4" t="n">
        <v>650</v>
      </c>
      <c r="U24" s="3"/>
      <c r="V24" s="3"/>
    </row>
    <row r="25" customFormat="false" ht="15" hidden="false" customHeight="true" outlineLevel="0" collapsed="false">
      <c r="A25" s="3" t="n">
        <v>23</v>
      </c>
      <c r="B25" s="3" t="s">
        <v>52</v>
      </c>
      <c r="C25" s="3" t="s">
        <v>26</v>
      </c>
      <c r="D25" s="3" t="s">
        <v>39</v>
      </c>
      <c r="E25" s="3" t="s">
        <v>28</v>
      </c>
      <c r="F25" s="3" t="s">
        <v>29</v>
      </c>
      <c r="G25" s="4" t="n">
        <v>5</v>
      </c>
      <c r="H25" s="3"/>
      <c r="I25" s="4" t="n">
        <v>515</v>
      </c>
      <c r="J25" s="4" t="n">
        <v>36.05</v>
      </c>
      <c r="K25" s="4" t="n">
        <v>0</v>
      </c>
      <c r="L25" s="4" t="n">
        <v>478.95</v>
      </c>
      <c r="M25" s="4" t="n">
        <v>2394.75</v>
      </c>
      <c r="N25" s="4" t="n">
        <v>119.74</v>
      </c>
      <c r="O25" s="4" t="n">
        <v>0</v>
      </c>
      <c r="P25" s="4" t="n">
        <v>0</v>
      </c>
      <c r="Q25" s="4" t="n">
        <v>2514.49</v>
      </c>
      <c r="R25" s="4" t="n">
        <v>880</v>
      </c>
      <c r="S25" s="4" t="n">
        <v>592.25</v>
      </c>
      <c r="T25" s="4" t="n">
        <v>669.5</v>
      </c>
      <c r="U25" s="3"/>
      <c r="V25" s="3"/>
    </row>
    <row r="26" customFormat="false" ht="15" hidden="false" customHeight="true" outlineLevel="0" collapsed="false">
      <c r="A26" s="3" t="n">
        <v>24</v>
      </c>
      <c r="B26" s="3" t="s">
        <v>53</v>
      </c>
      <c r="C26" s="3" t="s">
        <v>26</v>
      </c>
      <c r="D26" s="3" t="s">
        <v>39</v>
      </c>
      <c r="E26" s="3" t="s">
        <v>28</v>
      </c>
      <c r="F26" s="3" t="s">
        <v>29</v>
      </c>
      <c r="G26" s="4" t="n">
        <v>5</v>
      </c>
      <c r="H26" s="3"/>
      <c r="I26" s="4" t="n">
        <v>545</v>
      </c>
      <c r="J26" s="4" t="n">
        <v>38.15</v>
      </c>
      <c r="K26" s="4" t="n">
        <v>0</v>
      </c>
      <c r="L26" s="4" t="n">
        <v>506.85</v>
      </c>
      <c r="M26" s="4" t="n">
        <v>2534.25</v>
      </c>
      <c r="N26" s="4" t="n">
        <v>126.71</v>
      </c>
      <c r="O26" s="4" t="n">
        <v>0</v>
      </c>
      <c r="P26" s="4" t="n">
        <v>0</v>
      </c>
      <c r="Q26" s="4" t="n">
        <v>2660.96</v>
      </c>
      <c r="R26" s="4" t="n">
        <v>980</v>
      </c>
      <c r="S26" s="4" t="n">
        <v>626.75</v>
      </c>
      <c r="T26" s="4" t="n">
        <v>708.5</v>
      </c>
      <c r="U26" s="3"/>
      <c r="V26" s="3"/>
    </row>
    <row r="27" customFormat="false" ht="15" hidden="false" customHeight="true" outlineLevel="0" collapsed="false">
      <c r="A27" s="3" t="n">
        <v>25</v>
      </c>
      <c r="B27" s="3" t="s">
        <v>54</v>
      </c>
      <c r="C27" s="3" t="s">
        <v>26</v>
      </c>
      <c r="D27" s="3" t="s">
        <v>39</v>
      </c>
      <c r="E27" s="3" t="s">
        <v>28</v>
      </c>
      <c r="F27" s="3" t="s">
        <v>29</v>
      </c>
      <c r="G27" s="4" t="n">
        <v>5</v>
      </c>
      <c r="H27" s="3"/>
      <c r="I27" s="4" t="n">
        <v>490</v>
      </c>
      <c r="J27" s="4" t="n">
        <v>34.3</v>
      </c>
      <c r="K27" s="4" t="n">
        <v>0</v>
      </c>
      <c r="L27" s="4" t="n">
        <v>455.7</v>
      </c>
      <c r="M27" s="4" t="n">
        <v>2278.5</v>
      </c>
      <c r="N27" s="4" t="n">
        <v>113.93</v>
      </c>
      <c r="O27" s="4" t="n">
        <v>0</v>
      </c>
      <c r="P27" s="4" t="n">
        <v>0</v>
      </c>
      <c r="Q27" s="4" t="n">
        <v>2392.43</v>
      </c>
      <c r="R27" s="4" t="n">
        <v>880</v>
      </c>
      <c r="S27" s="4" t="n">
        <v>563.5</v>
      </c>
      <c r="T27" s="4" t="n">
        <v>637</v>
      </c>
      <c r="U27" s="3"/>
      <c r="V27" s="3"/>
    </row>
    <row r="28" customFormat="false" ht="15" hidden="false" customHeight="true" outlineLevel="0" collapsed="false">
      <c r="A28" s="3" t="n">
        <v>26</v>
      </c>
      <c r="B28" s="3" t="s">
        <v>55</v>
      </c>
      <c r="C28" s="3" t="s">
        <v>26</v>
      </c>
      <c r="D28" s="3" t="s">
        <v>39</v>
      </c>
      <c r="E28" s="3" t="s">
        <v>28</v>
      </c>
      <c r="F28" s="3" t="s">
        <v>29</v>
      </c>
      <c r="G28" s="4" t="n">
        <v>5</v>
      </c>
      <c r="H28" s="3"/>
      <c r="I28" s="4" t="n">
        <v>510</v>
      </c>
      <c r="J28" s="4" t="n">
        <v>35.7</v>
      </c>
      <c r="K28" s="4" t="n">
        <v>0</v>
      </c>
      <c r="L28" s="4" t="n">
        <v>474.3</v>
      </c>
      <c r="M28" s="4" t="n">
        <v>2371.5</v>
      </c>
      <c r="N28" s="4" t="n">
        <v>118.58</v>
      </c>
      <c r="O28" s="4" t="n">
        <v>0</v>
      </c>
      <c r="P28" s="4" t="n">
        <v>0</v>
      </c>
      <c r="Q28" s="4" t="n">
        <v>2490.08</v>
      </c>
      <c r="R28" s="4" t="n">
        <v>890</v>
      </c>
      <c r="S28" s="4" t="n">
        <v>586.5</v>
      </c>
      <c r="T28" s="4" t="n">
        <v>663</v>
      </c>
      <c r="U28" s="3"/>
      <c r="V28" s="3"/>
    </row>
    <row r="29" customFormat="false" ht="15" hidden="false" customHeight="true" outlineLevel="0" collapsed="false">
      <c r="A29" s="3" t="n">
        <v>27</v>
      </c>
      <c r="B29" s="3" t="s">
        <v>56</v>
      </c>
      <c r="C29" s="3" t="s">
        <v>26</v>
      </c>
      <c r="D29" s="3" t="s">
        <v>39</v>
      </c>
      <c r="E29" s="3" t="s">
        <v>28</v>
      </c>
      <c r="F29" s="3" t="s">
        <v>29</v>
      </c>
      <c r="G29" s="4" t="n">
        <v>5</v>
      </c>
      <c r="H29" s="3"/>
      <c r="I29" s="4" t="n">
        <v>540</v>
      </c>
      <c r="J29" s="4" t="n">
        <v>37.8</v>
      </c>
      <c r="K29" s="4" t="n">
        <v>0</v>
      </c>
      <c r="L29" s="4" t="n">
        <v>502.2</v>
      </c>
      <c r="M29" s="4" t="n">
        <v>2511</v>
      </c>
      <c r="N29" s="4" t="n">
        <v>125.55</v>
      </c>
      <c r="O29" s="4" t="n">
        <v>0</v>
      </c>
      <c r="P29" s="4" t="n">
        <v>0</v>
      </c>
      <c r="Q29" s="4" t="n">
        <v>2636.55</v>
      </c>
      <c r="R29" s="4" t="n">
        <v>980</v>
      </c>
      <c r="S29" s="4" t="n">
        <v>621</v>
      </c>
      <c r="T29" s="4" t="n">
        <v>702</v>
      </c>
      <c r="U29" s="3"/>
      <c r="V29" s="3"/>
    </row>
    <row r="30" customFormat="false" ht="15" hidden="false" customHeight="true" outlineLevel="0" collapsed="false">
      <c r="A30" s="3" t="n">
        <v>28</v>
      </c>
      <c r="B30" s="3" t="s">
        <v>57</v>
      </c>
      <c r="C30" s="3" t="s">
        <v>26</v>
      </c>
      <c r="D30" s="3" t="s">
        <v>39</v>
      </c>
      <c r="E30" s="3" t="s">
        <v>28</v>
      </c>
      <c r="F30" s="3" t="s">
        <v>29</v>
      </c>
      <c r="G30" s="4" t="n">
        <v>3</v>
      </c>
      <c r="H30" s="3"/>
      <c r="I30" s="4" t="n">
        <v>575</v>
      </c>
      <c r="J30" s="4" t="n">
        <v>40.25</v>
      </c>
      <c r="K30" s="4" t="n">
        <v>0</v>
      </c>
      <c r="L30" s="4" t="n">
        <v>534.75</v>
      </c>
      <c r="M30" s="4" t="n">
        <v>1604.25</v>
      </c>
      <c r="N30" s="4" t="n">
        <v>80.21</v>
      </c>
      <c r="O30" s="4" t="n">
        <v>0</v>
      </c>
      <c r="P30" s="4" t="n">
        <v>0</v>
      </c>
      <c r="Q30" s="4" t="n">
        <v>1684.46</v>
      </c>
      <c r="R30" s="4" t="n">
        <v>980</v>
      </c>
      <c r="S30" s="4" t="n">
        <v>661.25</v>
      </c>
      <c r="T30" s="4" t="n">
        <v>747.5</v>
      </c>
      <c r="U30" s="3"/>
      <c r="V30" s="3"/>
    </row>
    <row r="31" customFormat="false" ht="15" hidden="false" customHeight="true" outlineLevel="0" collapsed="false">
      <c r="A31" s="3" t="n">
        <v>29</v>
      </c>
      <c r="B31" s="3" t="s">
        <v>58</v>
      </c>
      <c r="C31" s="3" t="s">
        <v>26</v>
      </c>
      <c r="D31" s="3" t="s">
        <v>39</v>
      </c>
      <c r="E31" s="3" t="s">
        <v>28</v>
      </c>
      <c r="F31" s="3" t="s">
        <v>29</v>
      </c>
      <c r="G31" s="4" t="n">
        <v>8</v>
      </c>
      <c r="H31" s="3"/>
      <c r="I31" s="4" t="n">
        <v>570</v>
      </c>
      <c r="J31" s="4" t="n">
        <v>39.9</v>
      </c>
      <c r="K31" s="4" t="n">
        <v>0</v>
      </c>
      <c r="L31" s="4" t="n">
        <v>530.1</v>
      </c>
      <c r="M31" s="4" t="n">
        <v>4240.8</v>
      </c>
      <c r="N31" s="4" t="n">
        <v>212.04</v>
      </c>
      <c r="O31" s="4" t="n">
        <v>0</v>
      </c>
      <c r="P31" s="4" t="n">
        <v>0</v>
      </c>
      <c r="Q31" s="4" t="n">
        <v>4452.84</v>
      </c>
      <c r="R31" s="4" t="n">
        <v>980</v>
      </c>
      <c r="S31" s="4" t="n">
        <v>655.5</v>
      </c>
      <c r="T31" s="4" t="n">
        <v>741</v>
      </c>
      <c r="U31" s="3"/>
      <c r="V31" s="3"/>
    </row>
    <row r="32" customFormat="false" ht="15" hidden="false" customHeight="true" outlineLevel="0" collapsed="false">
      <c r="A32" s="5" t="s">
        <v>59</v>
      </c>
      <c r="B32" s="6"/>
      <c r="C32" s="6"/>
      <c r="D32" s="6"/>
      <c r="E32" s="6"/>
      <c r="F32" s="6"/>
      <c r="G32" s="7" t="n">
        <f aca="false">SUM(G3:G31)</f>
        <v>132</v>
      </c>
      <c r="H32" s="7" t="n">
        <f aca="false">SUM(H3:H31)</f>
        <v>0</v>
      </c>
      <c r="I32" s="7" t="n">
        <f aca="false">SUM(I3:I31)</f>
        <v>60145</v>
      </c>
      <c r="J32" s="7" t="n">
        <f aca="false">SUM(J3:J31)</f>
        <v>4210.15</v>
      </c>
      <c r="K32" s="7" t="n">
        <f aca="false">SUM(K3:K31)</f>
        <v>0</v>
      </c>
      <c r="L32" s="7" t="n">
        <f aca="false">SUM(L3:L31)</f>
        <v>55934.85</v>
      </c>
      <c r="M32" s="7" t="n">
        <f aca="false">SUM(M3:M31)</f>
        <v>168790.35</v>
      </c>
      <c r="N32" s="8" t="n">
        <f aca="false">ROUND(M32*0.05,2)</f>
        <v>8439.52</v>
      </c>
      <c r="O32" s="7" t="n">
        <f aca="false">SUM(O3:O31)</f>
        <v>0</v>
      </c>
      <c r="P32" s="7" t="n">
        <f aca="false">SUM(P3:P31)</f>
        <v>0</v>
      </c>
      <c r="Q32" s="8" t="n">
        <f aca="false">M32+N32</f>
        <v>177229.87</v>
      </c>
      <c r="R32" s="7" t="n">
        <f aca="false">SUM(R3:R31)</f>
        <v>98800</v>
      </c>
      <c r="S32" s="7" t="n">
        <f aca="false">SUM(S3:S31)</f>
        <v>69166.75</v>
      </c>
      <c r="T32" s="7" t="n">
        <f aca="false">SUM(T3:T31)</f>
        <v>78188.5</v>
      </c>
      <c r="U32" s="6"/>
      <c r="V32" s="6"/>
    </row>
    <row r="34" customFormat="false" ht="15" hidden="false" customHeight="true" outlineLevel="0" collapsed="false">
      <c r="A34" s="9" t="s">
        <v>0</v>
      </c>
      <c r="B34" s="9" t="s">
        <v>60</v>
      </c>
      <c r="C34" s="9" t="s">
        <v>61</v>
      </c>
      <c r="D34" s="9" t="s">
        <v>62</v>
      </c>
      <c r="E34" s="9" t="s">
        <v>63</v>
      </c>
      <c r="F34" s="9" t="s">
        <v>8</v>
      </c>
      <c r="G34" s="9" t="s">
        <v>9</v>
      </c>
    </row>
    <row r="35" customFormat="false" ht="15" hidden="false" customHeight="true" outlineLevel="0" collapsed="false">
      <c r="A35" s="10" t="n">
        <f aca="false">A3</f>
        <v>1</v>
      </c>
      <c r="B35" s="10" t="n">
        <f aca="false">A3</f>
        <v>1</v>
      </c>
      <c r="C35" s="10" t="str">
        <f aca="false">C3</f>
        <v>MS-NEW</v>
      </c>
      <c r="D35" s="11" t="n">
        <f aca="false">G3</f>
        <v>2</v>
      </c>
      <c r="E35" s="11" t="n">
        <f aca="false">M3</f>
        <v>12145.8</v>
      </c>
      <c r="F35" s="11" t="n">
        <f aca="false">N3</f>
        <v>607.29</v>
      </c>
      <c r="G35" s="11" t="n">
        <f aca="false">Q3</f>
        <v>12753.09</v>
      </c>
    </row>
    <row r="36" customFormat="false" ht="15" hidden="false" customHeight="true" outlineLevel="0" collapsed="false">
      <c r="A36" s="12" t="n">
        <f aca="false">A4</f>
        <v>2</v>
      </c>
      <c r="B36" s="12" t="n">
        <f aca="false">A4</f>
        <v>2</v>
      </c>
      <c r="C36" s="12" t="str">
        <f aca="false">C4</f>
        <v>MS-NEW</v>
      </c>
      <c r="D36" s="13" t="n">
        <f aca="false">G4</f>
        <v>2</v>
      </c>
      <c r="E36" s="13" t="n">
        <f aca="false">M4</f>
        <v>12406.2</v>
      </c>
      <c r="F36" s="13" t="n">
        <f aca="false">N4</f>
        <v>620.31</v>
      </c>
      <c r="G36" s="13" t="n">
        <f aca="false">Q4</f>
        <v>13026.51</v>
      </c>
    </row>
    <row r="37" customFormat="false" ht="15" hidden="false" customHeight="true" outlineLevel="0" collapsed="false">
      <c r="A37" s="10" t="n">
        <f aca="false">A5</f>
        <v>3</v>
      </c>
      <c r="B37" s="10" t="n">
        <f aca="false">A5</f>
        <v>3</v>
      </c>
      <c r="C37" s="10" t="str">
        <f aca="false">C5</f>
        <v>MS-NEW</v>
      </c>
      <c r="D37" s="11" t="n">
        <f aca="false">G5</f>
        <v>2</v>
      </c>
      <c r="E37" s="11" t="n">
        <f aca="false">M5</f>
        <v>12648</v>
      </c>
      <c r="F37" s="11" t="n">
        <f aca="false">N5</f>
        <v>632.4</v>
      </c>
      <c r="G37" s="11" t="n">
        <f aca="false">Q5</f>
        <v>13280.4</v>
      </c>
    </row>
    <row r="38" customFormat="false" ht="15" hidden="false" customHeight="true" outlineLevel="0" collapsed="false">
      <c r="A38" s="12" t="n">
        <f aca="false">A6</f>
        <v>4</v>
      </c>
      <c r="B38" s="12" t="n">
        <f aca="false">A6</f>
        <v>4</v>
      </c>
      <c r="C38" s="12" t="str">
        <f aca="false">C6</f>
        <v>MS-NEW</v>
      </c>
      <c r="D38" s="13" t="n">
        <f aca="false">G6</f>
        <v>2</v>
      </c>
      <c r="E38" s="13" t="n">
        <f aca="false">M6</f>
        <v>12908.4</v>
      </c>
      <c r="F38" s="13" t="n">
        <f aca="false">N6</f>
        <v>645.42</v>
      </c>
      <c r="G38" s="13" t="n">
        <f aca="false">Q6</f>
        <v>13553.82</v>
      </c>
    </row>
    <row r="39" customFormat="false" ht="15" hidden="false" customHeight="true" outlineLevel="0" collapsed="false">
      <c r="A39" s="10" t="n">
        <f aca="false">A7</f>
        <v>5</v>
      </c>
      <c r="B39" s="10" t="n">
        <f aca="false">A7</f>
        <v>5</v>
      </c>
      <c r="C39" s="10" t="str">
        <f aca="false">C7</f>
        <v>MS-NEW</v>
      </c>
      <c r="D39" s="11" t="n">
        <f aca="false">G7</f>
        <v>2</v>
      </c>
      <c r="E39" s="11" t="n">
        <f aca="false">M7</f>
        <v>13187.4</v>
      </c>
      <c r="F39" s="11" t="n">
        <f aca="false">N7</f>
        <v>659.37</v>
      </c>
      <c r="G39" s="11" t="n">
        <f aca="false">Q7</f>
        <v>13846.77</v>
      </c>
    </row>
    <row r="40" customFormat="false" ht="15" hidden="false" customHeight="true" outlineLevel="0" collapsed="false">
      <c r="A40" s="12" t="n">
        <f aca="false">A8</f>
        <v>6</v>
      </c>
      <c r="B40" s="12" t="n">
        <f aca="false">A8</f>
        <v>6</v>
      </c>
      <c r="C40" s="12" t="str">
        <f aca="false">C8</f>
        <v>MS-NEW</v>
      </c>
      <c r="D40" s="13" t="n">
        <f aca="false">G8</f>
        <v>2</v>
      </c>
      <c r="E40" s="13" t="n">
        <f aca="false">M8</f>
        <v>4371</v>
      </c>
      <c r="F40" s="13" t="n">
        <f aca="false">N8</f>
        <v>218.55</v>
      </c>
      <c r="G40" s="13" t="n">
        <f aca="false">Q8</f>
        <v>4589.55</v>
      </c>
    </row>
    <row r="41" customFormat="false" ht="15" hidden="false" customHeight="true" outlineLevel="0" collapsed="false">
      <c r="A41" s="10" t="n">
        <f aca="false">A9</f>
        <v>7</v>
      </c>
      <c r="B41" s="10" t="n">
        <f aca="false">A9</f>
        <v>7</v>
      </c>
      <c r="C41" s="10" t="str">
        <f aca="false">C9</f>
        <v>MS-NEW</v>
      </c>
      <c r="D41" s="11" t="n">
        <f aca="false">G9</f>
        <v>2</v>
      </c>
      <c r="E41" s="11" t="n">
        <f aca="false">M9</f>
        <v>4464</v>
      </c>
      <c r="F41" s="11" t="n">
        <f aca="false">N9</f>
        <v>223.2</v>
      </c>
      <c r="G41" s="11" t="n">
        <f aca="false">Q9</f>
        <v>4687.2</v>
      </c>
    </row>
    <row r="42" customFormat="false" ht="15" hidden="false" customHeight="true" outlineLevel="0" collapsed="false">
      <c r="A42" s="12" t="n">
        <f aca="false">A10</f>
        <v>8</v>
      </c>
      <c r="B42" s="12" t="n">
        <f aca="false">A10</f>
        <v>8</v>
      </c>
      <c r="C42" s="12" t="str">
        <f aca="false">C10</f>
        <v>MS-NEW</v>
      </c>
      <c r="D42" s="13" t="n">
        <f aca="false">G10</f>
        <v>3</v>
      </c>
      <c r="E42" s="13" t="n">
        <f aca="false">M10</f>
        <v>6835.5</v>
      </c>
      <c r="F42" s="13" t="n">
        <f aca="false">N10</f>
        <v>341.78</v>
      </c>
      <c r="G42" s="13" t="n">
        <f aca="false">Q10</f>
        <v>7177.28</v>
      </c>
    </row>
    <row r="43" customFormat="false" ht="15" hidden="false" customHeight="true" outlineLevel="0" collapsed="false">
      <c r="A43" s="10" t="n">
        <f aca="false">A11</f>
        <v>9</v>
      </c>
      <c r="B43" s="10" t="n">
        <f aca="false">A11</f>
        <v>9</v>
      </c>
      <c r="C43" s="10" t="str">
        <f aca="false">C11</f>
        <v>MS-NEW</v>
      </c>
      <c r="D43" s="11" t="n">
        <f aca="false">G11</f>
        <v>2</v>
      </c>
      <c r="E43" s="11" t="n">
        <f aca="false">M11</f>
        <v>4743</v>
      </c>
      <c r="F43" s="11" t="n">
        <f aca="false">N11</f>
        <v>237.15</v>
      </c>
      <c r="G43" s="11" t="n">
        <f aca="false">Q11</f>
        <v>4980.15</v>
      </c>
    </row>
    <row r="44" customFormat="false" ht="15" hidden="false" customHeight="true" outlineLevel="0" collapsed="false">
      <c r="A44" s="12" t="n">
        <f aca="false">A12</f>
        <v>10</v>
      </c>
      <c r="B44" s="12" t="n">
        <f aca="false">A12</f>
        <v>10</v>
      </c>
      <c r="C44" s="12" t="str">
        <f aca="false">C12</f>
        <v>MS-NEW</v>
      </c>
      <c r="D44" s="13" t="n">
        <f aca="false">G12</f>
        <v>3</v>
      </c>
      <c r="E44" s="13" t="n">
        <f aca="false">M12</f>
        <v>7086.6</v>
      </c>
      <c r="F44" s="13" t="n">
        <f aca="false">N12</f>
        <v>354.33</v>
      </c>
      <c r="G44" s="13" t="n">
        <f aca="false">Q12</f>
        <v>7440.93</v>
      </c>
    </row>
    <row r="45" customFormat="false" ht="15" hidden="false" customHeight="true" outlineLevel="0" collapsed="false">
      <c r="A45" s="10" t="n">
        <f aca="false">A13</f>
        <v>11</v>
      </c>
      <c r="B45" s="10" t="n">
        <f aca="false">A13</f>
        <v>11</v>
      </c>
      <c r="C45" s="10" t="str">
        <f aca="false">C13</f>
        <v>MS-NEW</v>
      </c>
      <c r="D45" s="11" t="n">
        <f aca="false">G13</f>
        <v>8</v>
      </c>
      <c r="E45" s="11" t="n">
        <f aca="false">M13</f>
        <v>21427.2</v>
      </c>
      <c r="F45" s="11" t="n">
        <f aca="false">N13</f>
        <v>1071.36</v>
      </c>
      <c r="G45" s="11" t="n">
        <f aca="false">Q13</f>
        <v>22498.56</v>
      </c>
    </row>
    <row r="46" customFormat="false" ht="15" hidden="false" customHeight="true" outlineLevel="0" collapsed="false">
      <c r="A46" s="12" t="n">
        <f aca="false">A14</f>
        <v>12</v>
      </c>
      <c r="B46" s="12" t="n">
        <f aca="false">A14</f>
        <v>12</v>
      </c>
      <c r="C46" s="12" t="str">
        <f aca="false">C14</f>
        <v>MS-NEW</v>
      </c>
      <c r="D46" s="13" t="n">
        <f aca="false">G14</f>
        <v>5</v>
      </c>
      <c r="E46" s="13" t="n">
        <f aca="false">M14</f>
        <v>2883</v>
      </c>
      <c r="F46" s="13" t="n">
        <f aca="false">N14</f>
        <v>144.15</v>
      </c>
      <c r="G46" s="13" t="n">
        <f aca="false">Q14</f>
        <v>3027.15</v>
      </c>
    </row>
    <row r="47" customFormat="false" ht="15" hidden="false" customHeight="true" outlineLevel="0" collapsed="false">
      <c r="A47" s="10" t="n">
        <f aca="false">A15</f>
        <v>13</v>
      </c>
      <c r="B47" s="10" t="n">
        <f aca="false">A15</f>
        <v>13</v>
      </c>
      <c r="C47" s="10" t="str">
        <f aca="false">C15</f>
        <v>MS-NEW</v>
      </c>
      <c r="D47" s="11" t="n">
        <f aca="false">G15</f>
        <v>5</v>
      </c>
      <c r="E47" s="11" t="n">
        <f aca="false">M15</f>
        <v>3022.5</v>
      </c>
      <c r="F47" s="11" t="n">
        <f aca="false">N15</f>
        <v>151.13</v>
      </c>
      <c r="G47" s="11" t="n">
        <f aca="false">Q15</f>
        <v>3173.63</v>
      </c>
    </row>
    <row r="48" customFormat="false" ht="15" hidden="false" customHeight="true" outlineLevel="0" collapsed="false">
      <c r="A48" s="12" t="n">
        <f aca="false">A16</f>
        <v>14</v>
      </c>
      <c r="B48" s="12" t="n">
        <f aca="false">A16</f>
        <v>14</v>
      </c>
      <c r="C48" s="12" t="str">
        <f aca="false">C16</f>
        <v>MS-NEW</v>
      </c>
      <c r="D48" s="13" t="n">
        <f aca="false">G16</f>
        <v>5</v>
      </c>
      <c r="E48" s="13" t="n">
        <f aca="false">M16</f>
        <v>3162</v>
      </c>
      <c r="F48" s="13" t="n">
        <f aca="false">N16</f>
        <v>158.1</v>
      </c>
      <c r="G48" s="13" t="n">
        <f aca="false">Q16</f>
        <v>3320.1</v>
      </c>
    </row>
    <row r="49" customFormat="false" ht="15" hidden="false" customHeight="true" outlineLevel="0" collapsed="false">
      <c r="A49" s="10" t="n">
        <f aca="false">A17</f>
        <v>15</v>
      </c>
      <c r="B49" s="10" t="n">
        <f aca="false">A17</f>
        <v>15</v>
      </c>
      <c r="C49" s="10" t="str">
        <f aca="false">C17</f>
        <v>MS-NEW</v>
      </c>
      <c r="D49" s="11" t="n">
        <f aca="false">G17</f>
        <v>3</v>
      </c>
      <c r="E49" s="11" t="n">
        <f aca="false">M17</f>
        <v>2064.6</v>
      </c>
      <c r="F49" s="11" t="n">
        <f aca="false">N17</f>
        <v>103.23</v>
      </c>
      <c r="G49" s="11" t="n">
        <f aca="false">Q17</f>
        <v>2167.83</v>
      </c>
    </row>
    <row r="50" customFormat="false" ht="15" hidden="false" customHeight="true" outlineLevel="0" collapsed="false">
      <c r="A50" s="12" t="n">
        <f aca="false">A18</f>
        <v>16</v>
      </c>
      <c r="B50" s="12" t="n">
        <f aca="false">A18</f>
        <v>16</v>
      </c>
      <c r="C50" s="12" t="str">
        <f aca="false">C18</f>
        <v>MS-NEW</v>
      </c>
      <c r="D50" s="13" t="n">
        <f aca="false">G18</f>
        <v>5</v>
      </c>
      <c r="E50" s="13" t="n">
        <f aca="false">M18</f>
        <v>3906</v>
      </c>
      <c r="F50" s="13" t="n">
        <f aca="false">N18</f>
        <v>195.3</v>
      </c>
      <c r="G50" s="13" t="n">
        <f aca="false">Q18</f>
        <v>4101.3</v>
      </c>
    </row>
    <row r="51" customFormat="false" ht="15" hidden="false" customHeight="true" outlineLevel="0" collapsed="false">
      <c r="A51" s="10" t="n">
        <f aca="false">A19</f>
        <v>17</v>
      </c>
      <c r="B51" s="10" t="n">
        <f aca="false">A19</f>
        <v>17</v>
      </c>
      <c r="C51" s="10" t="str">
        <f aca="false">C19</f>
        <v>MS-NEW</v>
      </c>
      <c r="D51" s="11" t="n">
        <f aca="false">G19</f>
        <v>5</v>
      </c>
      <c r="E51" s="11" t="n">
        <f aca="false">M19</f>
        <v>4092</v>
      </c>
      <c r="F51" s="11" t="n">
        <f aca="false">N19</f>
        <v>204.6</v>
      </c>
      <c r="G51" s="11" t="n">
        <f aca="false">Q19</f>
        <v>4296.6</v>
      </c>
    </row>
    <row r="52" customFormat="false" ht="15" hidden="false" customHeight="true" outlineLevel="0" collapsed="false">
      <c r="A52" s="12" t="n">
        <f aca="false">A20</f>
        <v>18</v>
      </c>
      <c r="B52" s="12" t="n">
        <f aca="false">A20</f>
        <v>18</v>
      </c>
      <c r="C52" s="12" t="str">
        <f aca="false">C20</f>
        <v>MS-NEW</v>
      </c>
      <c r="D52" s="13" t="n">
        <f aca="false">G20</f>
        <v>8</v>
      </c>
      <c r="E52" s="13" t="n">
        <f aca="false">M20</f>
        <v>7737.6</v>
      </c>
      <c r="F52" s="13" t="n">
        <f aca="false">N20</f>
        <v>386.88</v>
      </c>
      <c r="G52" s="13" t="n">
        <f aca="false">Q20</f>
        <v>8124.48</v>
      </c>
    </row>
    <row r="53" customFormat="false" ht="15" hidden="false" customHeight="true" outlineLevel="0" collapsed="false">
      <c r="A53" s="10" t="n">
        <f aca="false">A21</f>
        <v>19</v>
      </c>
      <c r="B53" s="10" t="n">
        <f aca="false">A21</f>
        <v>19</v>
      </c>
      <c r="C53" s="10" t="str">
        <f aca="false">C21</f>
        <v>MS-NEW</v>
      </c>
      <c r="D53" s="11" t="n">
        <f aca="false">G21</f>
        <v>10</v>
      </c>
      <c r="E53" s="11" t="n">
        <f aca="false">M21</f>
        <v>3441</v>
      </c>
      <c r="F53" s="11" t="n">
        <f aca="false">N21</f>
        <v>172.05</v>
      </c>
      <c r="G53" s="11" t="n">
        <f aca="false">Q21</f>
        <v>3613.05</v>
      </c>
    </row>
    <row r="54" customFormat="false" ht="15" hidden="false" customHeight="true" outlineLevel="0" collapsed="false">
      <c r="A54" s="12" t="n">
        <f aca="false">A22</f>
        <v>20</v>
      </c>
      <c r="B54" s="12" t="n">
        <f aca="false">A22</f>
        <v>20</v>
      </c>
      <c r="C54" s="12" t="str">
        <f aca="false">C22</f>
        <v>MS-NEW</v>
      </c>
      <c r="D54" s="13" t="n">
        <f aca="false">G22</f>
        <v>10</v>
      </c>
      <c r="E54" s="13" t="n">
        <f aca="false">M22</f>
        <v>3813</v>
      </c>
      <c r="F54" s="13" t="n">
        <f aca="false">N22</f>
        <v>190.65</v>
      </c>
      <c r="G54" s="13" t="n">
        <f aca="false">Q22</f>
        <v>4003.65</v>
      </c>
    </row>
    <row r="55" customFormat="false" ht="15" hidden="false" customHeight="true" outlineLevel="0" collapsed="false">
      <c r="A55" s="10" t="n">
        <f aca="false">A23</f>
        <v>21</v>
      </c>
      <c r="B55" s="10" t="n">
        <f aca="false">A23</f>
        <v>21</v>
      </c>
      <c r="C55" s="10" t="str">
        <f aca="false">C23</f>
        <v>MS-NEW</v>
      </c>
      <c r="D55" s="11" t="n">
        <f aca="false">G23</f>
        <v>5</v>
      </c>
      <c r="E55" s="11" t="n">
        <f aca="false">M23</f>
        <v>2185.5</v>
      </c>
      <c r="F55" s="11" t="n">
        <f aca="false">N23</f>
        <v>109.28</v>
      </c>
      <c r="G55" s="11" t="n">
        <f aca="false">Q23</f>
        <v>2294.78</v>
      </c>
    </row>
    <row r="56" customFormat="false" ht="15" hidden="false" customHeight="true" outlineLevel="0" collapsed="false">
      <c r="A56" s="12" t="n">
        <f aca="false">A24</f>
        <v>22</v>
      </c>
      <c r="B56" s="12" t="n">
        <f aca="false">A24</f>
        <v>22</v>
      </c>
      <c r="C56" s="12" t="str">
        <f aca="false">C24</f>
        <v>MS-NEW</v>
      </c>
      <c r="D56" s="13" t="n">
        <f aca="false">G24</f>
        <v>5</v>
      </c>
      <c r="E56" s="13" t="n">
        <f aca="false">M24</f>
        <v>2325</v>
      </c>
      <c r="F56" s="13" t="n">
        <f aca="false">N24</f>
        <v>116.25</v>
      </c>
      <c r="G56" s="13" t="n">
        <f aca="false">Q24</f>
        <v>2441.25</v>
      </c>
    </row>
    <row r="57" customFormat="false" ht="15" hidden="false" customHeight="true" outlineLevel="0" collapsed="false">
      <c r="A57" s="10" t="n">
        <f aca="false">A25</f>
        <v>23</v>
      </c>
      <c r="B57" s="10" t="n">
        <f aca="false">A25</f>
        <v>23</v>
      </c>
      <c r="C57" s="10" t="str">
        <f aca="false">C25</f>
        <v>MS-NEW</v>
      </c>
      <c r="D57" s="11" t="n">
        <f aca="false">G25</f>
        <v>5</v>
      </c>
      <c r="E57" s="11" t="n">
        <f aca="false">M25</f>
        <v>2394.75</v>
      </c>
      <c r="F57" s="11" t="n">
        <f aca="false">N25</f>
        <v>119.74</v>
      </c>
      <c r="G57" s="11" t="n">
        <f aca="false">Q25</f>
        <v>2514.49</v>
      </c>
    </row>
    <row r="58" customFormat="false" ht="15" hidden="false" customHeight="true" outlineLevel="0" collapsed="false">
      <c r="A58" s="12" t="n">
        <f aca="false">A26</f>
        <v>24</v>
      </c>
      <c r="B58" s="12" t="n">
        <f aca="false">A26</f>
        <v>24</v>
      </c>
      <c r="C58" s="12" t="str">
        <f aca="false">C26</f>
        <v>MS-NEW</v>
      </c>
      <c r="D58" s="13" t="n">
        <f aca="false">G26</f>
        <v>5</v>
      </c>
      <c r="E58" s="13" t="n">
        <f aca="false">M26</f>
        <v>2534.25</v>
      </c>
      <c r="F58" s="13" t="n">
        <f aca="false">N26</f>
        <v>126.71</v>
      </c>
      <c r="G58" s="13" t="n">
        <f aca="false">Q26</f>
        <v>2660.96</v>
      </c>
    </row>
    <row r="59" customFormat="false" ht="15" hidden="false" customHeight="true" outlineLevel="0" collapsed="false">
      <c r="A59" s="10" t="n">
        <f aca="false">A27</f>
        <v>25</v>
      </c>
      <c r="B59" s="10" t="n">
        <f aca="false">A27</f>
        <v>25</v>
      </c>
      <c r="C59" s="10" t="str">
        <f aca="false">C27</f>
        <v>MS-NEW</v>
      </c>
      <c r="D59" s="11" t="n">
        <f aca="false">G27</f>
        <v>5</v>
      </c>
      <c r="E59" s="11" t="n">
        <f aca="false">M27</f>
        <v>2278.5</v>
      </c>
      <c r="F59" s="11" t="n">
        <f aca="false">N27</f>
        <v>113.93</v>
      </c>
      <c r="G59" s="11" t="n">
        <f aca="false">Q27</f>
        <v>2392.43</v>
      </c>
    </row>
    <row r="60" customFormat="false" ht="15" hidden="false" customHeight="true" outlineLevel="0" collapsed="false">
      <c r="A60" s="12" t="n">
        <f aca="false">A28</f>
        <v>26</v>
      </c>
      <c r="B60" s="12" t="n">
        <f aca="false">A28</f>
        <v>26</v>
      </c>
      <c r="C60" s="12" t="str">
        <f aca="false">C28</f>
        <v>MS-NEW</v>
      </c>
      <c r="D60" s="13" t="n">
        <f aca="false">G28</f>
        <v>5</v>
      </c>
      <c r="E60" s="13" t="n">
        <f aca="false">M28</f>
        <v>2371.5</v>
      </c>
      <c r="F60" s="13" t="n">
        <f aca="false">N28</f>
        <v>118.58</v>
      </c>
      <c r="G60" s="13" t="n">
        <f aca="false">Q28</f>
        <v>2490.08</v>
      </c>
    </row>
    <row r="61" customFormat="false" ht="15" hidden="false" customHeight="true" outlineLevel="0" collapsed="false">
      <c r="A61" s="10" t="n">
        <f aca="false">A29</f>
        <v>27</v>
      </c>
      <c r="B61" s="10" t="n">
        <f aca="false">A29</f>
        <v>27</v>
      </c>
      <c r="C61" s="10" t="str">
        <f aca="false">C29</f>
        <v>MS-NEW</v>
      </c>
      <c r="D61" s="11" t="n">
        <f aca="false">G29</f>
        <v>5</v>
      </c>
      <c r="E61" s="11" t="n">
        <f aca="false">M29</f>
        <v>2511</v>
      </c>
      <c r="F61" s="11" t="n">
        <f aca="false">N29</f>
        <v>125.55</v>
      </c>
      <c r="G61" s="11" t="n">
        <f aca="false">Q29</f>
        <v>2636.55</v>
      </c>
    </row>
    <row r="62" customFormat="false" ht="15" hidden="false" customHeight="true" outlineLevel="0" collapsed="false">
      <c r="A62" s="12" t="n">
        <f aca="false">A30</f>
        <v>28</v>
      </c>
      <c r="B62" s="12" t="n">
        <f aca="false">A30</f>
        <v>28</v>
      </c>
      <c r="C62" s="12" t="str">
        <f aca="false">C30</f>
        <v>MS-NEW</v>
      </c>
      <c r="D62" s="13" t="n">
        <f aca="false">G30</f>
        <v>3</v>
      </c>
      <c r="E62" s="13" t="n">
        <f aca="false">M30</f>
        <v>1604.25</v>
      </c>
      <c r="F62" s="13" t="n">
        <f aca="false">N30</f>
        <v>80.21</v>
      </c>
      <c r="G62" s="13" t="n">
        <f aca="false">Q30</f>
        <v>1684.46</v>
      </c>
    </row>
    <row r="63" customFormat="false" ht="15" hidden="false" customHeight="true" outlineLevel="0" collapsed="false">
      <c r="A63" s="10" t="n">
        <f aca="false">A31</f>
        <v>29</v>
      </c>
      <c r="B63" s="10" t="n">
        <f aca="false">A31</f>
        <v>29</v>
      </c>
      <c r="C63" s="10" t="str">
        <f aca="false">C31</f>
        <v>MS-NEW</v>
      </c>
      <c r="D63" s="11" t="n">
        <f aca="false">G31</f>
        <v>8</v>
      </c>
      <c r="E63" s="11" t="n">
        <f aca="false">M31</f>
        <v>4240.8</v>
      </c>
      <c r="F63" s="11" t="n">
        <f aca="false">N31</f>
        <v>212.04</v>
      </c>
      <c r="G63" s="11" t="n">
        <f aca="false">Q31</f>
        <v>4452.84</v>
      </c>
    </row>
    <row r="64" customFormat="false" ht="15" hidden="false" customHeight="true" outlineLevel="0" collapsed="false">
      <c r="A64" s="14" t="s">
        <v>59</v>
      </c>
      <c r="B64" s="15"/>
      <c r="C64" s="15"/>
      <c r="D64" s="16" t="n">
        <f aca="false">SUM(D35:D63)</f>
        <v>132</v>
      </c>
      <c r="E64" s="16" t="n">
        <f aca="false">SUM(E35:E63)</f>
        <v>168790.35</v>
      </c>
      <c r="F64" s="16" t="n">
        <f aca="false">N32</f>
        <v>8439.52</v>
      </c>
      <c r="G64" s="16" t="n">
        <f aca="false">Q32</f>
        <v>177229.87</v>
      </c>
    </row>
  </sheetData>
  <mergeCells count="15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2026-09-09T04:27:31Z</dcterms:created>
  <dc:creator>openpyxl</dc:creator>
  <dc:description/>
  <dc:language>en-US</dc:language>
  <cp:lastModifiedBy/>
  <dcterms:modified xsi:type="dcterms:W3CDTF">2026-09-10T09:17:41Z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