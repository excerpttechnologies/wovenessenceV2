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</sheets>
  <definedNames>
    <definedName function="false" hidden="true" localSheetId="0" name="_xlnm._FilterDatabase" vbProcedure="false">'Inventory Data'!$A$1:$V$26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0" authorId="0">
      <text>
        <r>
          <rPr>
            <sz val="10"/>
            <rFont val="Arial"/>
            <family val="2"/>
          </rPr>
          <t xml:space="preserve">GST @ 5% total (CGST 2.5% + SGST 2.5%)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<sst xmlns="http://schemas.openxmlformats.org/spreadsheetml/2006/main" count="150" uniqueCount="58">
  <si>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</si>
  <si>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</si>
  <si>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</si>
  <si>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</si>
  <si>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</si>
  <si>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</si>
  <si>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</si>
  <si>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</si>
  <si>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</si>
  <si>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</si>
  <si>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</si>
  <si>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</si>
  <si>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</si>
  <si>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</si>
  <si>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</si>
  <si>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</si>
  <si>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</si>
  <si>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</si>
  <si>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</si>
  <si>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</si>
  <si>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</si>
  <si>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</si>
  <si>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</si>
  <si>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</si>
  <si>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</si>
  <si>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8A2844</t>
  </si>
  <si>
    <t xml:space="preserve">10-2BY2</t>
  </si>
  <si>
    <t xml:space="preserve">520831</t>
  </si>
  <si>
    <t xml:space="preserve">GST 5 %</t>
  </si>
  <si>
    <t xml:space="preserve">Mtr</t>
  </si>
  <si>
    <t xml:space="preserve">8A2845</t>
  </si>
  <si>
    <t xml:space="preserve">8A2846</t>
  </si>
  <si>
    <t xml:space="preserve">8A2847</t>
  </si>
  <si>
    <t xml:space="preserve">8A2848</t>
  </si>
  <si>
    <t xml:space="preserve">8A2849</t>
  </si>
  <si>
    <t xml:space="preserve">8A2850</t>
  </si>
  <si>
    <t xml:space="preserve">8A2851</t>
  </si>
  <si>
    <t xml:space="preserve">8A2852</t>
  </si>
  <si>
    <t xml:space="preserve">8A2853</t>
  </si>
  <si>
    <t xml:space="preserve">8A2854</t>
  </si>
  <si>
    <t xml:space="preserve">8A2855</t>
  </si>
  <si>
    <t xml:space="preserve">8A2856</t>
  </si>
  <si>
    <t xml:space="preserve">8A2857</t>
  </si>
  <si>
    <t xml:space="preserve">8A2858</t>
  </si>
  <si>
    <t xml:space="preserve">8A2859</t>
  </si>
  <si>
    <t xml:space="preserve">8A2860</t>
  </si>
  <si>
    <t xml:space="preserve">8A2861</t>
  </si>
  <si>
    <t xml:space="preserve">8A2862</t>
  </si>
  <si>
    <t xml:space="preserve">8A2863</t>
  </si>
  <si>
    <t xml:space="preserve">8A2864</t>
  </si>
  <si>
    <t xml:space="preserve">8A2865</t>
  </si>
  <si>
    <t xml:space="preserve">8A2866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</si>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</sst>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3" t="n">
        <v>1</v>
      </c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11</v>
      </c>
      <c r="H3" s="6" t="n">
        <v>7</v>
      </c>
      <c r="I3" s="5" t="n">
        <v>138</v>
      </c>
      <c r="J3" s="5" t="n">
        <v>0</v>
      </c>
      <c r="K3" s="5" t="n">
        <v>0</v>
      </c>
      <c r="L3" s="5" t="n">
        <f aca="false">I3*(1-J3)-K3</f>
        <v>138</v>
      </c>
      <c r="M3" s="5" t="n">
        <f aca="false">G3*L3</f>
        <v>1518</v>
      </c>
      <c r="N3" s="5" t="n">
        <v>0</v>
      </c>
      <c r="O3" s="5" t="n">
        <v>37.95</v>
      </c>
      <c r="P3" s="5" t="n">
        <v>37.95</v>
      </c>
      <c r="Q3" s="5" t="n">
        <f aca="false">M3+N3+O3+P3</f>
        <v>1593.9</v>
      </c>
      <c r="R3" s="5" t="n">
        <v>248</v>
      </c>
      <c r="S3" s="5" t="n">
        <v>158.7</v>
      </c>
      <c r="T3" s="5" t="n">
        <v>179.4</v>
      </c>
      <c r="U3" s="3"/>
      <c r="V3" s="3"/>
    </row>
    <row r="4" customFormat="false" ht="19.5" hidden="false" customHeight="true" outlineLevel="0" collapsed="false">
      <c r="A4" s="7" t="n">
        <v>2</v>
      </c>
      <c r="B4" s="7" t="s">
        <v>30</v>
      </c>
      <c r="C4" s="8" t="s">
        <v>26</v>
      </c>
      <c r="D4" s="7" t="s">
        <v>27</v>
      </c>
      <c r="E4" s="7" t="s">
        <v>28</v>
      </c>
      <c r="F4" s="7" t="s">
        <v>29</v>
      </c>
      <c r="G4" s="9" t="n">
        <v>11</v>
      </c>
      <c r="H4" s="10" t="n">
        <v>7</v>
      </c>
      <c r="I4" s="9" t="n">
        <v>138</v>
      </c>
      <c r="J4" s="9" t="n">
        <v>0</v>
      </c>
      <c r="K4" s="9" t="n">
        <v>0</v>
      </c>
      <c r="L4" s="9" t="n">
        <f aca="false">I4*(1-J4)-K4</f>
        <v>138</v>
      </c>
      <c r="M4" s="9" t="n">
        <f aca="false">G4*L4</f>
        <v>1518</v>
      </c>
      <c r="N4" s="9" t="n">
        <v>0</v>
      </c>
      <c r="O4" s="9" t="n">
        <v>37.95</v>
      </c>
      <c r="P4" s="9" t="n">
        <v>37.95</v>
      </c>
      <c r="Q4" s="9" t="n">
        <f aca="false">M4+N4+O4+P4</f>
        <v>1593.9</v>
      </c>
      <c r="R4" s="9" t="n">
        <v>248</v>
      </c>
      <c r="S4" s="9" t="n">
        <v>158.7</v>
      </c>
      <c r="T4" s="9" t="n">
        <v>179.4</v>
      </c>
      <c r="U4" s="7"/>
      <c r="V4" s="7"/>
    </row>
    <row r="5" customFormat="false" ht="19.5" hidden="false" customHeight="true" outlineLevel="0" collapsed="false">
      <c r="A5" s="3" t="n">
        <v>3</v>
      </c>
      <c r="B5" s="3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11</v>
      </c>
      <c r="H5" s="6" t="n">
        <v>7</v>
      </c>
      <c r="I5" s="5" t="n">
        <v>138</v>
      </c>
      <c r="J5" s="5" t="n">
        <v>0</v>
      </c>
      <c r="K5" s="5" t="n">
        <v>0</v>
      </c>
      <c r="L5" s="5" t="n">
        <f aca="false">I5*(1-J5)-K5</f>
        <v>138</v>
      </c>
      <c r="M5" s="5" t="n">
        <f aca="false">G5*L5</f>
        <v>1518</v>
      </c>
      <c r="N5" s="5" t="n">
        <v>0</v>
      </c>
      <c r="O5" s="5" t="n">
        <v>37.95</v>
      </c>
      <c r="P5" s="5" t="n">
        <v>37.95</v>
      </c>
      <c r="Q5" s="5" t="n">
        <f aca="false">M5+N5+O5+P5</f>
        <v>1593.9</v>
      </c>
      <c r="R5" s="5" t="n">
        <v>248</v>
      </c>
      <c r="S5" s="5" t="n">
        <v>158.7</v>
      </c>
      <c r="T5" s="5" t="n">
        <v>179.4</v>
      </c>
      <c r="U5" s="3"/>
      <c r="V5" s="3"/>
    </row>
    <row r="6" customFormat="false" ht="19.5" hidden="false" customHeight="true" outlineLevel="0" collapsed="false">
      <c r="A6" s="7" t="n">
        <v>4</v>
      </c>
      <c r="B6" s="7" t="s">
        <v>32</v>
      </c>
      <c r="C6" s="8" t="s">
        <v>26</v>
      </c>
      <c r="D6" s="7" t="s">
        <v>27</v>
      </c>
      <c r="E6" s="7" t="s">
        <v>28</v>
      </c>
      <c r="F6" s="7" t="s">
        <v>29</v>
      </c>
      <c r="G6" s="9" t="n">
        <v>11</v>
      </c>
      <c r="H6" s="10" t="n">
        <v>7</v>
      </c>
      <c r="I6" s="9" t="n">
        <v>138</v>
      </c>
      <c r="J6" s="9" t="n">
        <v>0</v>
      </c>
      <c r="K6" s="9" t="n">
        <v>0</v>
      </c>
      <c r="L6" s="9" t="n">
        <f aca="false">I6*(1-J6)-K6</f>
        <v>138</v>
      </c>
      <c r="M6" s="9" t="n">
        <f aca="false">G6*L6</f>
        <v>1518</v>
      </c>
      <c r="N6" s="9" t="n">
        <v>0</v>
      </c>
      <c r="O6" s="9" t="n">
        <v>37.95</v>
      </c>
      <c r="P6" s="9" t="n">
        <v>37.95</v>
      </c>
      <c r="Q6" s="9" t="n">
        <f aca="false">M6+N6+O6+P6</f>
        <v>1593.9</v>
      </c>
      <c r="R6" s="9" t="n">
        <v>248</v>
      </c>
      <c r="S6" s="9" t="n">
        <v>158.7</v>
      </c>
      <c r="T6" s="9" t="n">
        <v>179.4</v>
      </c>
      <c r="U6" s="7"/>
      <c r="V6" s="7"/>
    </row>
    <row r="7" customFormat="false" ht="19.5" hidden="false" customHeight="true" outlineLevel="0" collapsed="false">
      <c r="A7" s="3" t="n">
        <v>5</v>
      </c>
      <c r="B7" s="3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11</v>
      </c>
      <c r="H7" s="6" t="n">
        <v>7</v>
      </c>
      <c r="I7" s="5" t="n">
        <v>138</v>
      </c>
      <c r="J7" s="5" t="n">
        <v>0</v>
      </c>
      <c r="K7" s="5" t="n">
        <v>0</v>
      </c>
      <c r="L7" s="5" t="n">
        <f aca="false">I7*(1-J7)-K7</f>
        <v>138</v>
      </c>
      <c r="M7" s="5" t="n">
        <f aca="false">G7*L7</f>
        <v>1518</v>
      </c>
      <c r="N7" s="5" t="n">
        <v>0</v>
      </c>
      <c r="O7" s="5" t="n">
        <v>37.95</v>
      </c>
      <c r="P7" s="5" t="n">
        <v>37.95</v>
      </c>
      <c r="Q7" s="5" t="n">
        <f aca="false">M7+N7+O7+P7</f>
        <v>1593.9</v>
      </c>
      <c r="R7" s="5" t="n">
        <v>248</v>
      </c>
      <c r="S7" s="5" t="n">
        <v>158.7</v>
      </c>
      <c r="T7" s="5" t="n">
        <v>179.4</v>
      </c>
      <c r="U7" s="3"/>
      <c r="V7" s="3"/>
    </row>
    <row r="8" customFormat="false" ht="19.5" hidden="false" customHeight="true" outlineLevel="0" collapsed="false">
      <c r="A8" s="7" t="n">
        <v>6</v>
      </c>
      <c r="B8" s="7" t="s">
        <v>34</v>
      </c>
      <c r="C8" s="8" t="s">
        <v>26</v>
      </c>
      <c r="D8" s="7" t="s">
        <v>27</v>
      </c>
      <c r="E8" s="7" t="s">
        <v>28</v>
      </c>
      <c r="F8" s="7" t="s">
        <v>29</v>
      </c>
      <c r="G8" s="9" t="n">
        <v>20</v>
      </c>
      <c r="H8" s="10" t="n">
        <v>7</v>
      </c>
      <c r="I8" s="9" t="n">
        <v>138</v>
      </c>
      <c r="J8" s="9" t="n">
        <v>0</v>
      </c>
      <c r="K8" s="9" t="n">
        <v>0</v>
      </c>
      <c r="L8" s="9" t="n">
        <f aca="false">I8*(1-J8)-K8</f>
        <v>138</v>
      </c>
      <c r="M8" s="9" t="n">
        <f aca="false">G8*L8</f>
        <v>2760</v>
      </c>
      <c r="N8" s="9" t="n">
        <v>0</v>
      </c>
      <c r="O8" s="9" t="n">
        <v>69</v>
      </c>
      <c r="P8" s="9" t="n">
        <v>69</v>
      </c>
      <c r="Q8" s="9" t="n">
        <f aca="false">M8+N8+O8+P8</f>
        <v>2898</v>
      </c>
      <c r="R8" s="9" t="n">
        <v>248</v>
      </c>
      <c r="S8" s="9" t="n">
        <v>158.7</v>
      </c>
      <c r="T8" s="9" t="n">
        <v>179.4</v>
      </c>
      <c r="U8" s="7"/>
      <c r="V8" s="7"/>
    </row>
    <row r="9" customFormat="false" ht="19.5" hidden="false" customHeight="true" outlineLevel="0" collapsed="false">
      <c r="A9" s="3" t="n">
        <v>7</v>
      </c>
      <c r="B9" s="3" t="s">
        <v>35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18</v>
      </c>
      <c r="H9" s="6" t="n">
        <v>7</v>
      </c>
      <c r="I9" s="5" t="n">
        <v>138</v>
      </c>
      <c r="J9" s="5" t="n">
        <v>0</v>
      </c>
      <c r="K9" s="5" t="n">
        <v>0</v>
      </c>
      <c r="L9" s="5" t="n">
        <f aca="false">I9*(1-J9)-K9</f>
        <v>138</v>
      </c>
      <c r="M9" s="5" t="n">
        <f aca="false">G9*L9</f>
        <v>2484</v>
      </c>
      <c r="N9" s="5" t="n">
        <v>0</v>
      </c>
      <c r="O9" s="5" t="n">
        <v>62.1</v>
      </c>
      <c r="P9" s="5" t="n">
        <v>62.1</v>
      </c>
      <c r="Q9" s="5" t="n">
        <f aca="false">M9+N9+O9+P9</f>
        <v>2608.2</v>
      </c>
      <c r="R9" s="5" t="n">
        <v>248</v>
      </c>
      <c r="S9" s="5" t="n">
        <v>158.7</v>
      </c>
      <c r="T9" s="5" t="n">
        <v>179.4</v>
      </c>
      <c r="U9" s="3"/>
      <c r="V9" s="3"/>
    </row>
    <row r="10" customFormat="false" ht="19.5" hidden="false" customHeight="true" outlineLevel="0" collapsed="false">
      <c r="A10" s="7" t="n">
        <v>8</v>
      </c>
      <c r="B10" s="7" t="s">
        <v>36</v>
      </c>
      <c r="C10" s="8" t="s">
        <v>26</v>
      </c>
      <c r="D10" s="7" t="s">
        <v>27</v>
      </c>
      <c r="E10" s="7" t="s">
        <v>28</v>
      </c>
      <c r="F10" s="7" t="s">
        <v>29</v>
      </c>
      <c r="G10" s="9" t="n">
        <v>20</v>
      </c>
      <c r="H10" s="10" t="n">
        <v>2</v>
      </c>
      <c r="I10" s="9" t="n">
        <v>99</v>
      </c>
      <c r="J10" s="9" t="n">
        <v>0</v>
      </c>
      <c r="K10" s="9" t="n">
        <v>0</v>
      </c>
      <c r="L10" s="9" t="n">
        <f aca="false">I10*(1-J10)-K10</f>
        <v>99</v>
      </c>
      <c r="M10" s="9" t="n">
        <f aca="false">G10*L10</f>
        <v>1980</v>
      </c>
      <c r="N10" s="9" t="n">
        <v>0</v>
      </c>
      <c r="O10" s="9" t="n">
        <v>49.5</v>
      </c>
      <c r="P10" s="9" t="n">
        <v>49.5</v>
      </c>
      <c r="Q10" s="9" t="n">
        <f aca="false">M10+N10+O10+P10</f>
        <v>2079</v>
      </c>
      <c r="R10" s="9" t="n">
        <v>185</v>
      </c>
      <c r="S10" s="9" t="n">
        <v>113.85</v>
      </c>
      <c r="T10" s="9" t="n">
        <v>128.7</v>
      </c>
      <c r="U10" s="7"/>
      <c r="V10" s="7"/>
    </row>
    <row r="11" customFormat="false" ht="19.5" hidden="false" customHeight="true" outlineLevel="0" collapsed="false">
      <c r="A11" s="3" t="n">
        <v>9</v>
      </c>
      <c r="B11" s="3" t="s">
        <v>37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20</v>
      </c>
      <c r="H11" s="6" t="n">
        <v>2</v>
      </c>
      <c r="I11" s="5" t="n">
        <v>99</v>
      </c>
      <c r="J11" s="5" t="n">
        <v>0</v>
      </c>
      <c r="K11" s="5" t="n">
        <v>0</v>
      </c>
      <c r="L11" s="5" t="n">
        <f aca="false">I11*(1-J11)-K11</f>
        <v>99</v>
      </c>
      <c r="M11" s="5" t="n">
        <f aca="false">G11*L11</f>
        <v>1980</v>
      </c>
      <c r="N11" s="5" t="n">
        <v>0</v>
      </c>
      <c r="O11" s="5" t="n">
        <v>49.5</v>
      </c>
      <c r="P11" s="5" t="n">
        <v>49.5</v>
      </c>
      <c r="Q11" s="5" t="n">
        <f aca="false">M11+N11+O11+P11</f>
        <v>2079</v>
      </c>
      <c r="R11" s="5" t="n">
        <v>185</v>
      </c>
      <c r="S11" s="5" t="n">
        <v>113.85</v>
      </c>
      <c r="T11" s="5" t="n">
        <v>128.7</v>
      </c>
      <c r="U11" s="3"/>
      <c r="V11" s="3"/>
    </row>
    <row r="12" customFormat="false" ht="19.5" hidden="false" customHeight="true" outlineLevel="0" collapsed="false">
      <c r="A12" s="7" t="n">
        <v>10</v>
      </c>
      <c r="B12" s="7" t="s">
        <v>38</v>
      </c>
      <c r="C12" s="8" t="s">
        <v>26</v>
      </c>
      <c r="D12" s="7" t="s">
        <v>27</v>
      </c>
      <c r="E12" s="7" t="s">
        <v>28</v>
      </c>
      <c r="F12" s="7" t="s">
        <v>29</v>
      </c>
      <c r="G12" s="9" t="n">
        <v>15</v>
      </c>
      <c r="H12" s="10" t="n">
        <v>8</v>
      </c>
      <c r="I12" s="9" t="n">
        <v>165</v>
      </c>
      <c r="J12" s="9" t="n">
        <v>0</v>
      </c>
      <c r="K12" s="9" t="n">
        <v>0</v>
      </c>
      <c r="L12" s="9" t="n">
        <f aca="false">I12*(1-J12)-K12</f>
        <v>165</v>
      </c>
      <c r="M12" s="9" t="n">
        <f aca="false">G12*L12</f>
        <v>2475</v>
      </c>
      <c r="N12" s="9" t="n">
        <v>0</v>
      </c>
      <c r="O12" s="9" t="n">
        <v>61.88</v>
      </c>
      <c r="P12" s="9" t="n">
        <v>61.88</v>
      </c>
      <c r="Q12" s="9" t="n">
        <f aca="false">M12+N12+O12+P12</f>
        <v>2598.76</v>
      </c>
      <c r="R12" s="9" t="n">
        <v>288</v>
      </c>
      <c r="S12" s="9" t="n">
        <v>189.75</v>
      </c>
      <c r="T12" s="9" t="n">
        <v>214.5</v>
      </c>
      <c r="U12" s="7"/>
      <c r="V12" s="7"/>
    </row>
    <row r="13" customFormat="false" ht="19.5" hidden="false" customHeight="true" outlineLevel="0" collapsed="false">
      <c r="A13" s="3" t="n">
        <v>11</v>
      </c>
      <c r="B13" s="3" t="s">
        <v>39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15</v>
      </c>
      <c r="H13" s="6" t="n">
        <v>8</v>
      </c>
      <c r="I13" s="5" t="n">
        <v>165</v>
      </c>
      <c r="J13" s="5" t="n">
        <v>0</v>
      </c>
      <c r="K13" s="5" t="n">
        <v>0</v>
      </c>
      <c r="L13" s="5" t="n">
        <f aca="false">I13*(1-J13)-K13</f>
        <v>165</v>
      </c>
      <c r="M13" s="5" t="n">
        <f aca="false">G13*L13</f>
        <v>2475</v>
      </c>
      <c r="N13" s="5" t="n">
        <v>0</v>
      </c>
      <c r="O13" s="5" t="n">
        <v>61.88</v>
      </c>
      <c r="P13" s="5" t="n">
        <v>61.88</v>
      </c>
      <c r="Q13" s="5" t="n">
        <f aca="false">M13+N13+O13+P13</f>
        <v>2598.76</v>
      </c>
      <c r="R13" s="5" t="n">
        <v>288</v>
      </c>
      <c r="S13" s="5" t="n">
        <v>189.75</v>
      </c>
      <c r="T13" s="5" t="n">
        <v>214.5</v>
      </c>
      <c r="U13" s="3"/>
      <c r="V13" s="3"/>
    </row>
    <row r="14" customFormat="false" ht="19.5" hidden="false" customHeight="true" outlineLevel="0" collapsed="false">
      <c r="A14" s="7" t="n">
        <v>12</v>
      </c>
      <c r="B14" s="7" t="s">
        <v>40</v>
      </c>
      <c r="C14" s="8" t="s">
        <v>26</v>
      </c>
      <c r="D14" s="7" t="s">
        <v>27</v>
      </c>
      <c r="E14" s="7" t="s">
        <v>28</v>
      </c>
      <c r="F14" s="7" t="s">
        <v>29</v>
      </c>
      <c r="G14" s="9" t="n">
        <v>15</v>
      </c>
      <c r="H14" s="10" t="n">
        <v>8</v>
      </c>
      <c r="I14" s="9" t="n">
        <v>165</v>
      </c>
      <c r="J14" s="9" t="n">
        <v>0</v>
      </c>
      <c r="K14" s="9" t="n">
        <v>0</v>
      </c>
      <c r="L14" s="9" t="n">
        <f aca="false">I14*(1-J14)-K14</f>
        <v>165</v>
      </c>
      <c r="M14" s="9" t="n">
        <f aca="false">G14*L14</f>
        <v>2475</v>
      </c>
      <c r="N14" s="9" t="n">
        <v>0</v>
      </c>
      <c r="O14" s="9" t="n">
        <v>61.88</v>
      </c>
      <c r="P14" s="9" t="n">
        <v>61.88</v>
      </c>
      <c r="Q14" s="9" t="n">
        <f aca="false">M14+N14+O14+P14</f>
        <v>2598.76</v>
      </c>
      <c r="R14" s="9" t="n">
        <v>288</v>
      </c>
      <c r="S14" s="9" t="n">
        <v>189.75</v>
      </c>
      <c r="T14" s="9" t="n">
        <v>214.5</v>
      </c>
      <c r="U14" s="7"/>
      <c r="V14" s="7"/>
    </row>
    <row r="15" customFormat="false" ht="19.5" hidden="false" customHeight="true" outlineLevel="0" collapsed="false">
      <c r="A15" s="3" t="n">
        <v>13</v>
      </c>
      <c r="B15" s="3" t="s">
        <v>41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15</v>
      </c>
      <c r="H15" s="6" t="n">
        <v>8</v>
      </c>
      <c r="I15" s="5" t="n">
        <v>165</v>
      </c>
      <c r="J15" s="5" t="n">
        <v>0</v>
      </c>
      <c r="K15" s="5" t="n">
        <v>0</v>
      </c>
      <c r="L15" s="5" t="n">
        <f aca="false">I15*(1-J15)-K15</f>
        <v>165</v>
      </c>
      <c r="M15" s="5" t="n">
        <f aca="false">G15*L15</f>
        <v>2475</v>
      </c>
      <c r="N15" s="5" t="n">
        <v>0</v>
      </c>
      <c r="O15" s="5" t="n">
        <v>61.88</v>
      </c>
      <c r="P15" s="5" t="n">
        <v>61.88</v>
      </c>
      <c r="Q15" s="5" t="n">
        <f aca="false">M15+N15+O15+P15</f>
        <v>2598.76</v>
      </c>
      <c r="R15" s="5" t="n">
        <v>288</v>
      </c>
      <c r="S15" s="5" t="n">
        <v>189.75</v>
      </c>
      <c r="T15" s="5" t="n">
        <v>214.5</v>
      </c>
      <c r="U15" s="3"/>
      <c r="V15" s="3"/>
    </row>
    <row r="16" customFormat="false" ht="19.5" hidden="false" customHeight="true" outlineLevel="0" collapsed="false">
      <c r="A16" s="7" t="n">
        <v>14</v>
      </c>
      <c r="B16" s="7" t="s">
        <v>42</v>
      </c>
      <c r="C16" s="8" t="s">
        <v>26</v>
      </c>
      <c r="D16" s="7" t="s">
        <v>27</v>
      </c>
      <c r="E16" s="7" t="s">
        <v>28</v>
      </c>
      <c r="F16" s="7" t="s">
        <v>29</v>
      </c>
      <c r="G16" s="9" t="n">
        <v>17</v>
      </c>
      <c r="H16" s="10" t="n">
        <v>8</v>
      </c>
      <c r="I16" s="9" t="n">
        <v>165</v>
      </c>
      <c r="J16" s="9" t="n">
        <v>0</v>
      </c>
      <c r="K16" s="9" t="n">
        <v>0</v>
      </c>
      <c r="L16" s="9" t="n">
        <f aca="false">I16*(1-J16)-K16</f>
        <v>165</v>
      </c>
      <c r="M16" s="9" t="n">
        <f aca="false">G16*L16</f>
        <v>2805</v>
      </c>
      <c r="N16" s="9" t="n">
        <v>0</v>
      </c>
      <c r="O16" s="9" t="n">
        <v>70.13</v>
      </c>
      <c r="P16" s="9" t="n">
        <v>70.13</v>
      </c>
      <c r="Q16" s="9" t="n">
        <f aca="false">M16+N16+O16+P16</f>
        <v>2945.26</v>
      </c>
      <c r="R16" s="9" t="n">
        <v>288</v>
      </c>
      <c r="S16" s="9" t="n">
        <v>189.75</v>
      </c>
      <c r="T16" s="9" t="n">
        <v>214.5</v>
      </c>
      <c r="U16" s="7"/>
      <c r="V16" s="7"/>
    </row>
    <row r="17" customFormat="false" ht="19.5" hidden="false" customHeight="true" outlineLevel="0" collapsed="false">
      <c r="A17" s="3" t="n">
        <v>15</v>
      </c>
      <c r="B17" s="3" t="s">
        <v>43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17</v>
      </c>
      <c r="H17" s="6" t="n">
        <v>8</v>
      </c>
      <c r="I17" s="5" t="n">
        <v>165</v>
      </c>
      <c r="J17" s="5" t="n">
        <v>0</v>
      </c>
      <c r="K17" s="5" t="n">
        <v>0</v>
      </c>
      <c r="L17" s="5" t="n">
        <f aca="false">I17*(1-J17)-K17</f>
        <v>165</v>
      </c>
      <c r="M17" s="5" t="n">
        <f aca="false">G17*L17</f>
        <v>2805</v>
      </c>
      <c r="N17" s="5" t="n">
        <v>0</v>
      </c>
      <c r="O17" s="5" t="n">
        <v>70.13</v>
      </c>
      <c r="P17" s="5" t="n">
        <v>70.13</v>
      </c>
      <c r="Q17" s="5" t="n">
        <f aca="false">M17+N17+O17+P17</f>
        <v>2945.26</v>
      </c>
      <c r="R17" s="5" t="n">
        <v>288</v>
      </c>
      <c r="S17" s="5" t="n">
        <v>189.75</v>
      </c>
      <c r="T17" s="5" t="n">
        <v>214.5</v>
      </c>
      <c r="U17" s="3"/>
      <c r="V17" s="3"/>
    </row>
    <row r="18" customFormat="false" ht="19.5" hidden="false" customHeight="true" outlineLevel="0" collapsed="false">
      <c r="A18" s="7" t="n">
        <v>16</v>
      </c>
      <c r="B18" s="7" t="s">
        <v>44</v>
      </c>
      <c r="C18" s="8" t="s">
        <v>26</v>
      </c>
      <c r="D18" s="7" t="s">
        <v>27</v>
      </c>
      <c r="E18" s="7" t="s">
        <v>28</v>
      </c>
      <c r="F18" s="7" t="s">
        <v>29</v>
      </c>
      <c r="G18" s="9" t="n">
        <v>16</v>
      </c>
      <c r="H18" s="10" t="n">
        <v>8</v>
      </c>
      <c r="I18" s="9" t="n">
        <v>165</v>
      </c>
      <c r="J18" s="9" t="n">
        <v>0</v>
      </c>
      <c r="K18" s="9" t="n">
        <v>0</v>
      </c>
      <c r="L18" s="9" t="n">
        <f aca="false">I18*(1-J18)-K18</f>
        <v>165</v>
      </c>
      <c r="M18" s="9" t="n">
        <f aca="false">G18*L18</f>
        <v>2640</v>
      </c>
      <c r="N18" s="9" t="n">
        <v>0</v>
      </c>
      <c r="O18" s="9" t="n">
        <v>66</v>
      </c>
      <c r="P18" s="9" t="n">
        <v>66</v>
      </c>
      <c r="Q18" s="9" t="n">
        <f aca="false">M18+N18+O18+P18</f>
        <v>2772</v>
      </c>
      <c r="R18" s="9" t="n">
        <v>288</v>
      </c>
      <c r="S18" s="9" t="n">
        <v>189.75</v>
      </c>
      <c r="T18" s="9" t="n">
        <v>214.5</v>
      </c>
      <c r="U18" s="7"/>
      <c r="V18" s="7"/>
    </row>
    <row r="19" customFormat="false" ht="19.5" hidden="false" customHeight="true" outlineLevel="0" collapsed="false">
      <c r="A19" s="3" t="n">
        <v>17</v>
      </c>
      <c r="B19" s="3" t="s">
        <v>45</v>
      </c>
      <c r="C19" s="4" t="s">
        <v>26</v>
      </c>
      <c r="D19" s="3" t="s">
        <v>27</v>
      </c>
      <c r="E19" s="3" t="s">
        <v>28</v>
      </c>
      <c r="F19" s="3" t="s">
        <v>29</v>
      </c>
      <c r="G19" s="5" t="n">
        <v>16</v>
      </c>
      <c r="H19" s="6" t="n">
        <v>8</v>
      </c>
      <c r="I19" s="5" t="n">
        <v>165</v>
      </c>
      <c r="J19" s="5" t="n">
        <v>0</v>
      </c>
      <c r="K19" s="5" t="n">
        <v>0</v>
      </c>
      <c r="L19" s="5" t="n">
        <f aca="false">I19*(1-J19)-K19</f>
        <v>165</v>
      </c>
      <c r="M19" s="5" t="n">
        <f aca="false">G19*L19</f>
        <v>2640</v>
      </c>
      <c r="N19" s="5" t="n">
        <v>0</v>
      </c>
      <c r="O19" s="5" t="n">
        <v>66</v>
      </c>
      <c r="P19" s="5" t="n">
        <v>66</v>
      </c>
      <c r="Q19" s="5" t="n">
        <f aca="false">M19+N19+O19+P19</f>
        <v>2772</v>
      </c>
      <c r="R19" s="5" t="n">
        <v>288</v>
      </c>
      <c r="S19" s="5" t="n">
        <v>189.75</v>
      </c>
      <c r="T19" s="5" t="n">
        <v>214.5</v>
      </c>
      <c r="U19" s="3"/>
      <c r="V19" s="3"/>
    </row>
    <row r="20" customFormat="false" ht="19.5" hidden="false" customHeight="true" outlineLevel="0" collapsed="false">
      <c r="A20" s="7" t="n">
        <v>18</v>
      </c>
      <c r="B20" s="7" t="s">
        <v>46</v>
      </c>
      <c r="C20" s="8" t="s">
        <v>26</v>
      </c>
      <c r="D20" s="7" t="s">
        <v>27</v>
      </c>
      <c r="E20" s="7" t="s">
        <v>28</v>
      </c>
      <c r="F20" s="7" t="s">
        <v>29</v>
      </c>
      <c r="G20" s="9" t="n">
        <v>20</v>
      </c>
      <c r="H20" s="10" t="n">
        <v>6</v>
      </c>
      <c r="I20" s="9" t="n">
        <v>148</v>
      </c>
      <c r="J20" s="9" t="n">
        <v>0</v>
      </c>
      <c r="K20" s="9" t="n">
        <v>0</v>
      </c>
      <c r="L20" s="9" t="n">
        <f aca="false">I20*(1-J20)-K20</f>
        <v>148</v>
      </c>
      <c r="M20" s="9" t="n">
        <f aca="false">G20*L20</f>
        <v>2960</v>
      </c>
      <c r="N20" s="9" t="n">
        <v>0</v>
      </c>
      <c r="O20" s="9" t="n">
        <v>74</v>
      </c>
      <c r="P20" s="9" t="n">
        <v>74</v>
      </c>
      <c r="Q20" s="9" t="n">
        <f aca="false">M20+N20+O20+P20</f>
        <v>3108</v>
      </c>
      <c r="R20" s="9" t="n">
        <v>325</v>
      </c>
      <c r="S20" s="9" t="n">
        <v>170.2</v>
      </c>
      <c r="T20" s="9" t="n">
        <v>192.4</v>
      </c>
      <c r="U20" s="7"/>
      <c r="V20" s="7"/>
    </row>
    <row r="21" customFormat="false" ht="19.5" hidden="false" customHeight="true" outlineLevel="0" collapsed="false">
      <c r="A21" s="3" t="n">
        <v>19</v>
      </c>
      <c r="B21" s="3" t="s">
        <v>47</v>
      </c>
      <c r="C21" s="4" t="s">
        <v>26</v>
      </c>
      <c r="D21" s="3" t="s">
        <v>27</v>
      </c>
      <c r="E21" s="3" t="s">
        <v>28</v>
      </c>
      <c r="F21" s="3" t="s">
        <v>29</v>
      </c>
      <c r="G21" s="5" t="n">
        <v>20</v>
      </c>
      <c r="H21" s="6" t="n">
        <v>6</v>
      </c>
      <c r="I21" s="5" t="n">
        <v>148</v>
      </c>
      <c r="J21" s="5" t="n">
        <v>0</v>
      </c>
      <c r="K21" s="5" t="n">
        <v>0</v>
      </c>
      <c r="L21" s="5" t="n">
        <f aca="false">I21*(1-J21)-K21</f>
        <v>148</v>
      </c>
      <c r="M21" s="5" t="n">
        <f aca="false">G21*L21</f>
        <v>2960</v>
      </c>
      <c r="N21" s="5" t="n">
        <v>0</v>
      </c>
      <c r="O21" s="5" t="n">
        <v>74</v>
      </c>
      <c r="P21" s="5" t="n">
        <v>74</v>
      </c>
      <c r="Q21" s="5" t="n">
        <f aca="false">M21+N21+O21+P21</f>
        <v>3108</v>
      </c>
      <c r="R21" s="5" t="n">
        <v>325</v>
      </c>
      <c r="S21" s="5" t="n">
        <v>170.2</v>
      </c>
      <c r="T21" s="5" t="n">
        <v>192.4</v>
      </c>
      <c r="U21" s="3"/>
      <c r="V21" s="3"/>
    </row>
    <row r="22" customFormat="false" ht="19.5" hidden="false" customHeight="true" outlineLevel="0" collapsed="false">
      <c r="A22" s="7" t="n">
        <v>20</v>
      </c>
      <c r="B22" s="7" t="s">
        <v>48</v>
      </c>
      <c r="C22" s="8" t="s">
        <v>26</v>
      </c>
      <c r="D22" s="7" t="s">
        <v>27</v>
      </c>
      <c r="E22" s="7" t="s">
        <v>28</v>
      </c>
      <c r="F22" s="7" t="s">
        <v>29</v>
      </c>
      <c r="G22" s="9" t="n">
        <v>15</v>
      </c>
      <c r="H22" s="10" t="n">
        <v>6</v>
      </c>
      <c r="I22" s="9" t="n">
        <v>148</v>
      </c>
      <c r="J22" s="9" t="n">
        <v>0</v>
      </c>
      <c r="K22" s="9" t="n">
        <v>0</v>
      </c>
      <c r="L22" s="9" t="n">
        <f aca="false">I22*(1-J22)-K22</f>
        <v>148</v>
      </c>
      <c r="M22" s="9" t="n">
        <f aca="false">G22*L22</f>
        <v>2220</v>
      </c>
      <c r="N22" s="9" t="n">
        <v>0</v>
      </c>
      <c r="O22" s="9" t="n">
        <v>55.5</v>
      </c>
      <c r="P22" s="9" t="n">
        <v>55.5</v>
      </c>
      <c r="Q22" s="9" t="n">
        <f aca="false">M22+N22+O22+P22</f>
        <v>2331</v>
      </c>
      <c r="R22" s="9" t="n">
        <v>325</v>
      </c>
      <c r="S22" s="9" t="n">
        <v>170.2</v>
      </c>
      <c r="T22" s="9" t="n">
        <v>192.4</v>
      </c>
      <c r="U22" s="7"/>
      <c r="V22" s="7"/>
    </row>
    <row r="23" customFormat="false" ht="19.5" hidden="false" customHeight="true" outlineLevel="0" collapsed="false">
      <c r="A23" s="3" t="n">
        <v>21</v>
      </c>
      <c r="B23" s="3" t="s">
        <v>49</v>
      </c>
      <c r="C23" s="4" t="s">
        <v>26</v>
      </c>
      <c r="D23" s="3" t="s">
        <v>27</v>
      </c>
      <c r="E23" s="3" t="s">
        <v>28</v>
      </c>
      <c r="F23" s="3" t="s">
        <v>29</v>
      </c>
      <c r="G23" s="5" t="n">
        <v>15</v>
      </c>
      <c r="H23" s="6" t="n">
        <v>6</v>
      </c>
      <c r="I23" s="5" t="n">
        <v>148</v>
      </c>
      <c r="J23" s="5" t="n">
        <v>0</v>
      </c>
      <c r="K23" s="5" t="n">
        <v>0</v>
      </c>
      <c r="L23" s="5" t="n">
        <f aca="false">I23*(1-J23)-K23</f>
        <v>148</v>
      </c>
      <c r="M23" s="5" t="n">
        <f aca="false">G23*L23</f>
        <v>2220</v>
      </c>
      <c r="N23" s="5" t="n">
        <v>0</v>
      </c>
      <c r="O23" s="5" t="n">
        <v>55.5</v>
      </c>
      <c r="P23" s="5" t="n">
        <v>55.5</v>
      </c>
      <c r="Q23" s="5" t="n">
        <f aca="false">M23+N23+O23+P23</f>
        <v>2331</v>
      </c>
      <c r="R23" s="5" t="n">
        <v>325</v>
      </c>
      <c r="S23" s="5" t="n">
        <v>170.2</v>
      </c>
      <c r="T23" s="5" t="n">
        <v>192.4</v>
      </c>
      <c r="U23" s="3"/>
      <c r="V23" s="3"/>
    </row>
    <row r="24" customFormat="false" ht="19.5" hidden="false" customHeight="true" outlineLevel="0" collapsed="false">
      <c r="A24" s="7" t="n">
        <v>22</v>
      </c>
      <c r="B24" s="7" t="s">
        <v>50</v>
      </c>
      <c r="C24" s="8" t="s">
        <v>26</v>
      </c>
      <c r="D24" s="7" t="s">
        <v>27</v>
      </c>
      <c r="E24" s="7" t="s">
        <v>28</v>
      </c>
      <c r="F24" s="7" t="s">
        <v>29</v>
      </c>
      <c r="G24" s="9" t="n">
        <v>15</v>
      </c>
      <c r="H24" s="10" t="n">
        <v>6</v>
      </c>
      <c r="I24" s="9" t="n">
        <v>148</v>
      </c>
      <c r="J24" s="9" t="n">
        <v>0</v>
      </c>
      <c r="K24" s="9" t="n">
        <v>0</v>
      </c>
      <c r="L24" s="9" t="n">
        <f aca="false">I24*(1-J24)-K24</f>
        <v>148</v>
      </c>
      <c r="M24" s="9" t="n">
        <f aca="false">G24*L24</f>
        <v>2220</v>
      </c>
      <c r="N24" s="9" t="n">
        <v>0</v>
      </c>
      <c r="O24" s="9" t="n">
        <v>55.5</v>
      </c>
      <c r="P24" s="9" t="n">
        <v>55.5</v>
      </c>
      <c r="Q24" s="9" t="n">
        <f aca="false">M24+N24+O24+P24</f>
        <v>2331</v>
      </c>
      <c r="R24" s="9" t="n">
        <v>325</v>
      </c>
      <c r="S24" s="9" t="n">
        <v>170.2</v>
      </c>
      <c r="T24" s="9" t="n">
        <v>192.4</v>
      </c>
      <c r="U24" s="7"/>
      <c r="V24" s="7"/>
    </row>
    <row r="25" customFormat="false" ht="21.75" hidden="false" customHeight="true" outlineLevel="0" collapsed="false">
      <c r="A25" s="3" t="n">
        <v>23</v>
      </c>
      <c r="B25" s="3" t="s">
        <v>51</v>
      </c>
      <c r="C25" s="4" t="s">
        <v>26</v>
      </c>
      <c r="D25" s="3" t="s">
        <v>27</v>
      </c>
      <c r="E25" s="3" t="s">
        <v>28</v>
      </c>
      <c r="F25" s="3" t="s">
        <v>29</v>
      </c>
      <c r="G25" s="5" t="n">
        <v>15</v>
      </c>
      <c r="H25" s="6" t="n">
        <v>6</v>
      </c>
      <c r="I25" s="5" t="n">
        <v>148</v>
      </c>
      <c r="J25" s="5" t="n">
        <v>0</v>
      </c>
      <c r="K25" s="5" t="n">
        <v>0</v>
      </c>
      <c r="L25" s="5" t="n">
        <f aca="false">I25*(1-J25)-K25</f>
        <v>148</v>
      </c>
      <c r="M25" s="5" t="n">
        <f aca="false">G25*L25</f>
        <v>2220</v>
      </c>
      <c r="N25" s="5" t="n">
        <v>0</v>
      </c>
      <c r="O25" s="5" t="n">
        <v>55.5</v>
      </c>
      <c r="P25" s="5" t="n">
        <v>55.5</v>
      </c>
      <c r="Q25" s="5" t="n">
        <f aca="false">M25+N25+O25+P25</f>
        <v>2331</v>
      </c>
      <c r="R25" s="5" t="n">
        <v>325</v>
      </c>
      <c r="S25" s="5" t="n">
        <v>170.2</v>
      </c>
      <c r="T25" s="5" t="n">
        <v>192.4</v>
      </c>
      <c r="U25" s="3"/>
      <c r="V25" s="3"/>
    </row>
    <row r="26" customFormat="false" ht="14.25" hidden="false" customHeight="false" outlineLevel="0" collapsed="false">
      <c r="A26" s="11" t="s">
        <v>52</v>
      </c>
      <c r="B26" s="11"/>
      <c r="C26" s="12"/>
      <c r="D26" s="11"/>
      <c r="E26" s="11"/>
      <c r="F26" s="11"/>
      <c r="G26" s="13" t="n">
        <f aca="false">SUM(G3:G25)</f>
        <v>359</v>
      </c>
      <c r="H26" s="14"/>
      <c r="I26" s="14"/>
      <c r="J26" s="14"/>
      <c r="K26" s="14"/>
      <c r="L26" s="14"/>
      <c r="M26" s="13" t="n">
        <f aca="false">SUM(M3:M25)</f>
        <v>52384</v>
      </c>
      <c r="N26" s="14"/>
      <c r="O26" s="13" t="n">
        <f aca="false">SUM(O3:O25)</f>
        <v>1309.63</v>
      </c>
      <c r="P26" s="13" t="n">
        <f aca="false">SUM(P3:P25)</f>
        <v>1309.63</v>
      </c>
      <c r="Q26" s="13" t="n">
        <f aca="false">SUM(Q3:Q25)</f>
        <v>55003.26</v>
      </c>
      <c r="R26" s="14"/>
      <c r="S26" s="14"/>
      <c r="T26" s="14"/>
      <c r="U26" s="11"/>
      <c r="V26" s="11"/>
    </row>
    <row r="28" customFormat="false" ht="21.75" hidden="false" customHeight="true" outlineLevel="0" collapsed="false">
      <c r="A28" s="15" t="s">
        <v>53</v>
      </c>
    </row>
    <row r="29" customFormat="false" ht="24" hidden="false" customHeight="true" outlineLevel="0" collapsed="false">
      <c r="A29" s="2" t="s">
        <v>0</v>
      </c>
      <c r="B29" s="2" t="s">
        <v>54</v>
      </c>
      <c r="C29" s="2" t="s">
        <v>55</v>
      </c>
      <c r="D29" s="2" t="s">
        <v>56</v>
      </c>
      <c r="E29" s="2" t="s">
        <v>57</v>
      </c>
      <c r="F29" s="2" t="s">
        <v>8</v>
      </c>
      <c r="G29" s="2" t="s">
        <v>9</v>
      </c>
    </row>
    <row r="30" customFormat="false" ht="19.5" hidden="false" customHeight="true" outlineLevel="0" collapsed="false">
      <c r="A30" s="16" t="n">
        <v>1</v>
      </c>
      <c r="B30" s="16" t="n">
        <v>1</v>
      </c>
      <c r="C30" s="16" t="str">
        <f aca="false">C3</f>
        <v>10-2BY2</v>
      </c>
      <c r="D30" s="17" t="n">
        <f aca="false">SUM(G3:G9)</f>
        <v>93</v>
      </c>
      <c r="E30" s="17" t="n">
        <f aca="false">SUM(M3:M9)</f>
        <v>12834</v>
      </c>
      <c r="F30" s="17" t="n">
        <f aca="false">ROUND(E30*5%,2)</f>
        <v>641.7</v>
      </c>
      <c r="G30" s="17" t="n">
        <f aca="false">E30+F30</f>
        <v>13475.7</v>
      </c>
    </row>
    <row r="31" customFormat="false" ht="19.5" hidden="false" customHeight="true" outlineLevel="0" collapsed="false">
      <c r="A31" s="16" t="n">
        <v>2</v>
      </c>
      <c r="B31" s="16" t="n">
        <v>2</v>
      </c>
      <c r="C31" s="16" t="str">
        <f aca="false">C10</f>
        <v>10-2BY2</v>
      </c>
      <c r="D31" s="17" t="n">
        <f aca="false">SUM(G10:G11)</f>
        <v>40</v>
      </c>
      <c r="E31" s="17" t="n">
        <f aca="false">SUM(M10:M11)</f>
        <v>3960</v>
      </c>
      <c r="F31" s="17" t="n">
        <f aca="false">ROUND(E31*5%,2)</f>
        <v>198</v>
      </c>
      <c r="G31" s="17" t="n">
        <f aca="false">E31+F31</f>
        <v>4158</v>
      </c>
    </row>
    <row r="32" customFormat="false" ht="19.5" hidden="false" customHeight="true" outlineLevel="0" collapsed="false">
      <c r="A32" s="16" t="n">
        <v>3</v>
      </c>
      <c r="B32" s="16" t="n">
        <v>3</v>
      </c>
      <c r="C32" s="16" t="str">
        <f aca="false">C12</f>
        <v>10-2BY2</v>
      </c>
      <c r="D32" s="17" t="n">
        <f aca="false">SUM(G12:G19)</f>
        <v>126</v>
      </c>
      <c r="E32" s="17" t="n">
        <f aca="false">SUM(M12:M19)</f>
        <v>20790</v>
      </c>
      <c r="F32" s="17" t="n">
        <f aca="false">ROUND(E32*5%,2)</f>
        <v>1039.5</v>
      </c>
      <c r="G32" s="17" t="n">
        <f aca="false">E32+F32</f>
        <v>21829.5</v>
      </c>
    </row>
    <row r="33" customFormat="false" ht="19.5" hidden="false" customHeight="true" outlineLevel="0" collapsed="false">
      <c r="A33" s="16" t="n">
        <v>4</v>
      </c>
      <c r="B33" s="16" t="n">
        <v>4</v>
      </c>
      <c r="C33" s="16" t="str">
        <f aca="false">C20</f>
        <v>10-2BY2</v>
      </c>
      <c r="D33" s="17" t="n">
        <f aca="false">SUM(G20:G25)</f>
        <v>100</v>
      </c>
      <c r="E33" s="17" t="n">
        <f aca="false">SUM(M20:M25)</f>
        <v>14800</v>
      </c>
      <c r="F33" s="17" t="n">
        <f aca="false">ROUND(E33*5%,2)</f>
        <v>740</v>
      </c>
      <c r="G33" s="17" t="n">
        <f aca="false">E33+F33</f>
        <v>15540</v>
      </c>
    </row>
    <row r="34" customFormat="false" ht="19.5" hidden="false" customHeight="true" outlineLevel="0" collapsed="false">
      <c r="A34" s="18" t="s">
        <v>52</v>
      </c>
      <c r="B34" s="19"/>
      <c r="C34" s="19"/>
      <c r="D34" s="20" t="n">
        <f aca="false">SUM(D30:D33)</f>
        <v>359</v>
      </c>
      <c r="E34" s="20" t="n">
        <f aca="false">SUM(E30:E33)</f>
        <v>52384</v>
      </c>
      <c r="F34" s="20" t="n">
        <f aca="false">ROUND(E34*5%,2)</f>
        <v>2619.2</v>
      </c>
      <c r="G34" s="20" t="n">
        <f aca="false">E34+F34</f>
        <v>55003.2</v>
      </c>
    </row>
  </sheetData>
  <autoFilter ref="A1:V26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2026-09-08T12:28:57Z</dcterms:created>
  <dc:creator>openpyxl</dc:creator>
  <dc:description/>
  <dc:language>en-US</dc:language>
  <cp:lastModifiedBy>Admin</cp:lastModifiedBy>
  <dcterms:modified xsi:type="dcterms:W3CDTF">2026-09-10T07:43:45Z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