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C 05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B365D"/>
      <sz val="10"/>
    </font>
    <font>
      <b val="1"/>
      <color rgb="00FFFFFF"/>
      <sz val="11"/>
    </font>
    <font>
      <b val="1"/>
      <sz val="13"/>
    </font>
    <font>
      <b val="1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4F7FA"/>
        <bgColor rgb="00F4F7FA"/>
      </patternFill>
    </fill>
    <fill>
      <patternFill patternType="solid">
        <fgColor rgb="00E6EEF8"/>
        <bgColor rgb="00E6EEF8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B365D"/>
      </top>
      <bottom style="medium">
        <color rgb="001B365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double">
        <color rgb="001B365D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double">
        <color rgb="001B365D"/>
      </bottom>
      <diagonal/>
    </border>
    <border>
      <left/>
      <right style="thin">
        <color rgb="00CCCCCC"/>
      </right>
      <top style="thin">
        <color rgb="00CCCCCC"/>
      </top>
      <bottom style="double">
        <color rgb="001B365D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4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4" fontId="2" fillId="4" borderId="2" applyAlignment="1" pivotButton="0" quotePrefix="0" xfId="0">
      <alignment horizontal="right" vertical="center"/>
    </xf>
    <xf numFmtId="164" fontId="2" fillId="4" borderId="2" applyAlignment="1" pivotButton="0" quotePrefix="0" xfId="0">
      <alignment horizontal="right" vertical="center"/>
    </xf>
    <xf numFmtId="0" fontId="3" fillId="5" borderId="3" applyAlignment="1" pivotButton="0" quotePrefix="0" xfId="0">
      <alignment horizontal="right" vertical="center"/>
    </xf>
    <xf numFmtId="164" fontId="3" fillId="5" borderId="3" applyAlignment="1" pivotButton="0" quotePrefix="0" xfId="0">
      <alignment horizontal="right" vertical="center"/>
    </xf>
    <xf numFmtId="3" fontId="3" fillId="5" borderId="3" applyAlignment="1" pivotButton="0" quotePrefix="0" xfId="0">
      <alignment horizontal="right" vertical="center"/>
    </xf>
    <xf numFmtId="0" fontId="4" fillId="6" borderId="8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0" pivotButton="0" quotePrefix="0" xfId="0"/>
    <xf numFmtId="0" fontId="6" fillId="7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right" vertical="center"/>
    </xf>
    <xf numFmtId="0" fontId="0" fillId="8" borderId="16" pivotButton="0" quotePrefix="0" xfId="0"/>
    <xf numFmtId="0" fontId="6" fillId="0" borderId="16" applyAlignment="1" pivotButton="0" quotePrefix="0" xfId="0">
      <alignment horizontal="right"/>
    </xf>
    <xf numFmtId="2" fontId="6" fillId="8" borderId="1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1" customWidth="1" min="4" max="4"/>
    <col width="18" customWidth="1" min="5" max="5"/>
    <col width="14" customWidth="1" min="6" max="6"/>
    <col width="15" customWidth="1" min="7" max="7"/>
    <col width="15" customWidth="1" min="8" max="8"/>
    <col width="16" customWidth="1" min="9" max="9"/>
    <col width="15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1" customWidth="1" min="21" max="21"/>
    <col width="11" customWidth="1" min="22" max="22"/>
  </cols>
  <sheetData>
    <row r="1" ht="20" customHeight="1">
      <c r="A1" s="13" t="inlineStr">
        <is>
          <t>Sl No</t>
        </is>
      </c>
      <c r="B1" s="13" t="inlineStr">
        <is>
          <t>Item</t>
        </is>
      </c>
      <c r="C1" s="14" t="n"/>
      <c r="D1" s="14" t="n"/>
      <c r="E1" s="14" t="n"/>
      <c r="F1" s="15" t="n"/>
      <c r="G1" s="13" t="inlineStr">
        <is>
          <t>QTY/MTR</t>
        </is>
      </c>
      <c r="H1" s="13" t="inlineStr">
        <is>
          <t>No. of Cuts</t>
        </is>
      </c>
      <c r="I1" s="13" t="inlineStr">
        <is>
          <t>Purchase Rate</t>
        </is>
      </c>
      <c r="J1" s="13" t="inlineStr">
        <is>
          <t>Discount</t>
        </is>
      </c>
      <c r="K1" s="15" t="n"/>
      <c r="L1" s="13" t="inlineStr">
        <is>
          <t>Final Rate</t>
        </is>
      </c>
      <c r="M1" s="13" t="inlineStr">
        <is>
          <t>Before Tax</t>
        </is>
      </c>
      <c r="N1" s="13" t="inlineStr">
        <is>
          <t>IGST</t>
        </is>
      </c>
      <c r="O1" s="13" t="inlineStr">
        <is>
          <t>CGST</t>
        </is>
      </c>
      <c r="P1" s="13" t="inlineStr">
        <is>
          <t>SGST</t>
        </is>
      </c>
      <c r="Q1" s="13" t="inlineStr">
        <is>
          <t>Net Amount</t>
        </is>
      </c>
      <c r="R1" s="13" t="inlineStr">
        <is>
          <t>RSP</t>
        </is>
      </c>
      <c r="S1" s="13" t="inlineStr">
        <is>
          <t>WSP</t>
        </is>
      </c>
      <c r="T1" s="13" t="inlineStr">
        <is>
          <t>DP</t>
        </is>
      </c>
      <c r="U1" s="13" t="inlineStr">
        <is>
          <t>Variant</t>
        </is>
      </c>
      <c r="V1" s="13" t="inlineStr">
        <is>
          <t>Action</t>
        </is>
      </c>
    </row>
    <row r="2" ht="20" customHeight="1">
      <c r="A2" s="16" t="n"/>
      <c r="B2" s="13" t="inlineStr">
        <is>
          <t>Code</t>
        </is>
      </c>
      <c r="C2" s="13" t="inlineStr">
        <is>
          <t>Name</t>
        </is>
      </c>
      <c r="D2" s="13" t="inlineStr">
        <is>
          <t>HSN</t>
        </is>
      </c>
      <c r="E2" s="13" t="inlineStr">
        <is>
          <t>GST Slab</t>
        </is>
      </c>
      <c r="F2" s="13" t="inlineStr">
        <is>
          <t>UOM</t>
        </is>
      </c>
      <c r="G2" s="16" t="n"/>
      <c r="H2" s="16" t="n"/>
      <c r="I2" s="16" t="n"/>
      <c r="J2" s="13" t="inlineStr">
        <is>
          <t>%</t>
        </is>
      </c>
      <c r="K2" s="13" t="inlineStr">
        <is>
          <t>R.Off</t>
        </is>
      </c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</row>
    <row r="3" ht="20" customHeight="1">
      <c r="A3" s="2" t="n">
        <v>1</v>
      </c>
      <c r="B3" s="2" t="inlineStr">
        <is>
          <t>8A2418</t>
        </is>
      </c>
      <c r="C3" s="3" t="inlineStr">
        <is>
          <t>15-S-TSR</t>
        </is>
      </c>
      <c r="D3" s="2" t="inlineStr">
        <is>
          <t>500720</t>
        </is>
      </c>
      <c r="E3" s="2" t="inlineStr">
        <is>
          <t>GST 5 %</t>
        </is>
      </c>
      <c r="F3" s="2" t="inlineStr">
        <is>
          <t>Pc(s)</t>
        </is>
      </c>
      <c r="G3" s="4" t="n">
        <v>1</v>
      </c>
      <c r="H3" s="2" t="inlineStr"/>
      <c r="I3" s="5" t="n">
        <v>4000</v>
      </c>
      <c r="J3" s="5" t="n">
        <v>0</v>
      </c>
      <c r="K3" s="5" t="n">
        <v>0</v>
      </c>
      <c r="L3" s="5" t="n">
        <v>4000</v>
      </c>
      <c r="M3" s="5">
        <f>G3*L3</f>
        <v/>
      </c>
      <c r="N3" s="5">
        <f>M3*0.05</f>
        <v/>
      </c>
      <c r="O3" s="5" t="n">
        <v>0</v>
      </c>
      <c r="P3" s="5" t="n">
        <v>0</v>
      </c>
      <c r="Q3" s="5">
        <f>M3+N3</f>
        <v/>
      </c>
      <c r="R3" s="5" t="n">
        <v>6880</v>
      </c>
      <c r="S3" s="5" t="n">
        <v>4600</v>
      </c>
      <c r="T3" s="5" t="n">
        <v>5200</v>
      </c>
      <c r="U3" s="2" t="inlineStr"/>
      <c r="V3" s="2" t="inlineStr"/>
    </row>
    <row r="4" ht="20" customHeight="1">
      <c r="A4" s="6" t="n">
        <v>2</v>
      </c>
      <c r="B4" s="6" t="inlineStr">
        <is>
          <t>8A2419</t>
        </is>
      </c>
      <c r="C4" s="7" t="inlineStr">
        <is>
          <t>15-S-TSR</t>
        </is>
      </c>
      <c r="D4" s="6" t="inlineStr">
        <is>
          <t>500720</t>
        </is>
      </c>
      <c r="E4" s="6" t="inlineStr">
        <is>
          <t>GST 5 %</t>
        </is>
      </c>
      <c r="F4" s="6" t="inlineStr">
        <is>
          <t>Pc(s)</t>
        </is>
      </c>
      <c r="G4" s="8" t="n">
        <v>1</v>
      </c>
      <c r="H4" s="6" t="inlineStr"/>
      <c r="I4" s="9" t="n">
        <v>4000</v>
      </c>
      <c r="J4" s="9" t="n">
        <v>0</v>
      </c>
      <c r="K4" s="9" t="n">
        <v>0</v>
      </c>
      <c r="L4" s="9" t="n">
        <v>4000</v>
      </c>
      <c r="M4" s="9">
        <f>G4*L4</f>
        <v/>
      </c>
      <c r="N4" s="9">
        <f>M4*0.05</f>
        <v/>
      </c>
      <c r="O4" s="9" t="n">
        <v>0</v>
      </c>
      <c r="P4" s="9" t="n">
        <v>0</v>
      </c>
      <c r="Q4" s="9">
        <f>M4+N4</f>
        <v/>
      </c>
      <c r="R4" s="9" t="n">
        <v>6880</v>
      </c>
      <c r="S4" s="9" t="n">
        <v>4600</v>
      </c>
      <c r="T4" s="9" t="n">
        <v>5200</v>
      </c>
      <c r="U4" s="6" t="inlineStr"/>
      <c r="V4" s="6" t="inlineStr"/>
    </row>
    <row r="5" ht="20" customHeight="1">
      <c r="A5" s="2" t="n">
        <v>3</v>
      </c>
      <c r="B5" s="2" t="inlineStr">
        <is>
          <t>8A2420</t>
        </is>
      </c>
      <c r="C5" s="3" t="inlineStr">
        <is>
          <t>15-S-TSR</t>
        </is>
      </c>
      <c r="D5" s="2" t="inlineStr">
        <is>
          <t>500720</t>
        </is>
      </c>
      <c r="E5" s="2" t="inlineStr">
        <is>
          <t>GST 5 %</t>
        </is>
      </c>
      <c r="F5" s="2" t="inlineStr">
        <is>
          <t>Pc(s)</t>
        </is>
      </c>
      <c r="G5" s="4" t="n">
        <v>1</v>
      </c>
      <c r="H5" s="2" t="inlineStr"/>
      <c r="I5" s="5" t="n">
        <v>4000</v>
      </c>
      <c r="J5" s="5" t="n">
        <v>0</v>
      </c>
      <c r="K5" s="5" t="n">
        <v>0</v>
      </c>
      <c r="L5" s="5" t="n">
        <v>4000</v>
      </c>
      <c r="M5" s="5">
        <f>G5*L5</f>
        <v/>
      </c>
      <c r="N5" s="5">
        <f>M5*0.05</f>
        <v/>
      </c>
      <c r="O5" s="5" t="n">
        <v>0</v>
      </c>
      <c r="P5" s="5" t="n">
        <v>0</v>
      </c>
      <c r="Q5" s="5">
        <f>M5+N5</f>
        <v/>
      </c>
      <c r="R5" s="5" t="n">
        <v>6880</v>
      </c>
      <c r="S5" s="5" t="n">
        <v>4600</v>
      </c>
      <c r="T5" s="5" t="n">
        <v>5200</v>
      </c>
      <c r="U5" s="2" t="inlineStr"/>
      <c r="V5" s="2" t="inlineStr"/>
    </row>
    <row r="6" ht="20" customHeight="1">
      <c r="A6" s="6" t="n">
        <v>4</v>
      </c>
      <c r="B6" s="6" t="inlineStr">
        <is>
          <t>8A2421</t>
        </is>
      </c>
      <c r="C6" s="7" t="inlineStr">
        <is>
          <t>15-S-TSR</t>
        </is>
      </c>
      <c r="D6" s="6" t="inlineStr">
        <is>
          <t>500720</t>
        </is>
      </c>
      <c r="E6" s="6" t="inlineStr">
        <is>
          <t>GST 5 %</t>
        </is>
      </c>
      <c r="F6" s="6" t="inlineStr">
        <is>
          <t>Pc(s)</t>
        </is>
      </c>
      <c r="G6" s="8" t="n">
        <v>1</v>
      </c>
      <c r="H6" s="6" t="inlineStr"/>
      <c r="I6" s="9" t="n">
        <v>4000</v>
      </c>
      <c r="J6" s="9" t="n">
        <v>0</v>
      </c>
      <c r="K6" s="9" t="n">
        <v>0</v>
      </c>
      <c r="L6" s="9" t="n">
        <v>4000</v>
      </c>
      <c r="M6" s="9">
        <f>G6*L6</f>
        <v/>
      </c>
      <c r="N6" s="9">
        <f>M6*0.05</f>
        <v/>
      </c>
      <c r="O6" s="9" t="n">
        <v>0</v>
      </c>
      <c r="P6" s="9" t="n">
        <v>0</v>
      </c>
      <c r="Q6" s="9">
        <f>M6+N6</f>
        <v/>
      </c>
      <c r="R6" s="9" t="n">
        <v>6880</v>
      </c>
      <c r="S6" s="9" t="n">
        <v>4600</v>
      </c>
      <c r="T6" s="9" t="n">
        <v>5200</v>
      </c>
      <c r="U6" s="6" t="inlineStr"/>
      <c r="V6" s="6" t="inlineStr"/>
    </row>
    <row r="7" ht="20" customHeight="1">
      <c r="A7" s="2" t="n">
        <v>5</v>
      </c>
      <c r="B7" s="2" t="inlineStr">
        <is>
          <t>8A2422</t>
        </is>
      </c>
      <c r="C7" s="3" t="inlineStr">
        <is>
          <t>15-S-TSR</t>
        </is>
      </c>
      <c r="D7" s="2" t="inlineStr">
        <is>
          <t>500720</t>
        </is>
      </c>
      <c r="E7" s="2" t="inlineStr">
        <is>
          <t>GST 5 %</t>
        </is>
      </c>
      <c r="F7" s="2" t="inlineStr">
        <is>
          <t>Pc(s)</t>
        </is>
      </c>
      <c r="G7" s="4" t="n">
        <v>1</v>
      </c>
      <c r="H7" s="2" t="inlineStr"/>
      <c r="I7" s="5" t="n">
        <v>4000</v>
      </c>
      <c r="J7" s="5" t="n">
        <v>0</v>
      </c>
      <c r="K7" s="5" t="n">
        <v>0</v>
      </c>
      <c r="L7" s="5" t="n">
        <v>4000</v>
      </c>
      <c r="M7" s="5">
        <f>G7*L7</f>
        <v/>
      </c>
      <c r="N7" s="5">
        <f>M7*0.05</f>
        <v/>
      </c>
      <c r="O7" s="5" t="n">
        <v>0</v>
      </c>
      <c r="P7" s="5" t="n">
        <v>0</v>
      </c>
      <c r="Q7" s="5">
        <f>M7+N7</f>
        <v/>
      </c>
      <c r="R7" s="5" t="n">
        <v>6880</v>
      </c>
      <c r="S7" s="5" t="n">
        <v>4600</v>
      </c>
      <c r="T7" s="5" t="n">
        <v>5200</v>
      </c>
      <c r="U7" s="2" t="inlineStr"/>
      <c r="V7" s="2" t="inlineStr"/>
    </row>
    <row r="8" ht="20" customHeight="1">
      <c r="A8" s="6" t="n">
        <v>6</v>
      </c>
      <c r="B8" s="6" t="inlineStr">
        <is>
          <t>8A2423</t>
        </is>
      </c>
      <c r="C8" s="7" t="inlineStr">
        <is>
          <t>15-S-TSR</t>
        </is>
      </c>
      <c r="D8" s="6" t="inlineStr">
        <is>
          <t>500720</t>
        </is>
      </c>
      <c r="E8" s="6" t="inlineStr">
        <is>
          <t>GST 5 %</t>
        </is>
      </c>
      <c r="F8" s="6" t="inlineStr">
        <is>
          <t>Pc(s)</t>
        </is>
      </c>
      <c r="G8" s="8" t="n">
        <v>1</v>
      </c>
      <c r="H8" s="6" t="inlineStr"/>
      <c r="I8" s="9" t="n">
        <v>4000</v>
      </c>
      <c r="J8" s="9" t="n">
        <v>0</v>
      </c>
      <c r="K8" s="9" t="n">
        <v>0</v>
      </c>
      <c r="L8" s="9" t="n">
        <v>4000</v>
      </c>
      <c r="M8" s="9">
        <f>G8*L8</f>
        <v/>
      </c>
      <c r="N8" s="9">
        <f>M8*0.05</f>
        <v/>
      </c>
      <c r="O8" s="9" t="n">
        <v>0</v>
      </c>
      <c r="P8" s="9" t="n">
        <v>0</v>
      </c>
      <c r="Q8" s="9">
        <f>M8+N8</f>
        <v/>
      </c>
      <c r="R8" s="9" t="n">
        <v>6880</v>
      </c>
      <c r="S8" s="9" t="n">
        <v>4600</v>
      </c>
      <c r="T8" s="9" t="n">
        <v>5200</v>
      </c>
      <c r="U8" s="6" t="inlineStr"/>
      <c r="V8" s="6" t="inlineStr"/>
    </row>
    <row r="9" ht="20" customHeight="1">
      <c r="A9" s="2" t="n">
        <v>7</v>
      </c>
      <c r="B9" s="2" t="inlineStr">
        <is>
          <t>8A2424</t>
        </is>
      </c>
      <c r="C9" s="3" t="inlineStr">
        <is>
          <t>15-S-TSR</t>
        </is>
      </c>
      <c r="D9" s="2" t="inlineStr">
        <is>
          <t>500720</t>
        </is>
      </c>
      <c r="E9" s="2" t="inlineStr">
        <is>
          <t>GST 5 %</t>
        </is>
      </c>
      <c r="F9" s="2" t="inlineStr">
        <is>
          <t>Pc(s)</t>
        </is>
      </c>
      <c r="G9" s="4" t="n">
        <v>1</v>
      </c>
      <c r="H9" s="2" t="inlineStr"/>
      <c r="I9" s="5" t="n">
        <v>4000</v>
      </c>
      <c r="J9" s="5" t="n">
        <v>0</v>
      </c>
      <c r="K9" s="5" t="n">
        <v>0</v>
      </c>
      <c r="L9" s="5" t="n">
        <v>4000</v>
      </c>
      <c r="M9" s="5">
        <f>G9*L9</f>
        <v/>
      </c>
      <c r="N9" s="5">
        <f>M9*0.05</f>
        <v/>
      </c>
      <c r="O9" s="5" t="n">
        <v>0</v>
      </c>
      <c r="P9" s="5" t="n">
        <v>0</v>
      </c>
      <c r="Q9" s="5">
        <f>M9+N9</f>
        <v/>
      </c>
      <c r="R9" s="5" t="n">
        <v>6880</v>
      </c>
      <c r="S9" s="5" t="n">
        <v>4600</v>
      </c>
      <c r="T9" s="5" t="n">
        <v>5200</v>
      </c>
      <c r="U9" s="2" t="inlineStr"/>
      <c r="V9" s="2" t="inlineStr"/>
    </row>
    <row r="10" ht="20" customHeight="1">
      <c r="A10" s="6" t="n">
        <v>8</v>
      </c>
      <c r="B10" s="6" t="inlineStr">
        <is>
          <t>8A2425</t>
        </is>
      </c>
      <c r="C10" s="7" t="inlineStr">
        <is>
          <t>15-S-TSR</t>
        </is>
      </c>
      <c r="D10" s="6" t="inlineStr">
        <is>
          <t>500720</t>
        </is>
      </c>
      <c r="E10" s="6" t="inlineStr">
        <is>
          <t>GST 5 %</t>
        </is>
      </c>
      <c r="F10" s="6" t="inlineStr">
        <is>
          <t>Pc(s)</t>
        </is>
      </c>
      <c r="G10" s="8" t="n">
        <v>1</v>
      </c>
      <c r="H10" s="6" t="inlineStr"/>
      <c r="I10" s="9" t="n">
        <v>4000</v>
      </c>
      <c r="J10" s="9" t="n">
        <v>0</v>
      </c>
      <c r="K10" s="9" t="n">
        <v>0</v>
      </c>
      <c r="L10" s="9" t="n">
        <v>4000</v>
      </c>
      <c r="M10" s="9">
        <f>G10*L10</f>
        <v/>
      </c>
      <c r="N10" s="9">
        <f>M10*0.05</f>
        <v/>
      </c>
      <c r="O10" s="9" t="n">
        <v>0</v>
      </c>
      <c r="P10" s="9" t="n">
        <v>0</v>
      </c>
      <c r="Q10" s="9">
        <f>M10+N10</f>
        <v/>
      </c>
      <c r="R10" s="9" t="n">
        <v>6880</v>
      </c>
      <c r="S10" s="9" t="n">
        <v>4600</v>
      </c>
      <c r="T10" s="9" t="n">
        <v>5200</v>
      </c>
      <c r="U10" s="6" t="inlineStr"/>
      <c r="V10" s="6" t="inlineStr"/>
    </row>
    <row r="11" ht="20" customHeight="1">
      <c r="A11" s="2" t="n">
        <v>9</v>
      </c>
      <c r="B11" s="2" t="inlineStr">
        <is>
          <t>8A2426</t>
        </is>
      </c>
      <c r="C11" s="3" t="inlineStr">
        <is>
          <t>15-S-TSR</t>
        </is>
      </c>
      <c r="D11" s="2" t="inlineStr">
        <is>
          <t>500720</t>
        </is>
      </c>
      <c r="E11" s="2" t="inlineStr">
        <is>
          <t>GST 5 %</t>
        </is>
      </c>
      <c r="F11" s="2" t="inlineStr">
        <is>
          <t>Pc(s)</t>
        </is>
      </c>
      <c r="G11" s="4" t="n">
        <v>1</v>
      </c>
      <c r="H11" s="2" t="inlineStr"/>
      <c r="I11" s="5" t="n">
        <v>4000</v>
      </c>
      <c r="J11" s="5" t="n">
        <v>0</v>
      </c>
      <c r="K11" s="5" t="n">
        <v>0</v>
      </c>
      <c r="L11" s="5" t="n">
        <v>4000</v>
      </c>
      <c r="M11" s="5">
        <f>G11*L11</f>
        <v/>
      </c>
      <c r="N11" s="5">
        <f>M11*0.05</f>
        <v/>
      </c>
      <c r="O11" s="5" t="n">
        <v>0</v>
      </c>
      <c r="P11" s="5" t="n">
        <v>0</v>
      </c>
      <c r="Q11" s="5">
        <f>M11+N11</f>
        <v/>
      </c>
      <c r="R11" s="5" t="n">
        <v>6880</v>
      </c>
      <c r="S11" s="5" t="n">
        <v>4600</v>
      </c>
      <c r="T11" s="5" t="n">
        <v>5200</v>
      </c>
      <c r="U11" s="2" t="inlineStr"/>
      <c r="V11" s="2" t="inlineStr"/>
    </row>
    <row r="12" ht="20" customHeight="1">
      <c r="A12" s="6" t="n">
        <v>10</v>
      </c>
      <c r="B12" s="6" t="inlineStr">
        <is>
          <t>8A2427</t>
        </is>
      </c>
      <c r="C12" s="7" t="inlineStr">
        <is>
          <t>15-S-TSR</t>
        </is>
      </c>
      <c r="D12" s="6" t="inlineStr">
        <is>
          <t>500720</t>
        </is>
      </c>
      <c r="E12" s="6" t="inlineStr">
        <is>
          <t>GST 5 %</t>
        </is>
      </c>
      <c r="F12" s="6" t="inlineStr">
        <is>
          <t>Pc(s)</t>
        </is>
      </c>
      <c r="G12" s="8" t="n">
        <v>1</v>
      </c>
      <c r="H12" s="6" t="inlineStr"/>
      <c r="I12" s="9" t="n">
        <v>4000</v>
      </c>
      <c r="J12" s="9" t="n">
        <v>0</v>
      </c>
      <c r="K12" s="9" t="n">
        <v>0</v>
      </c>
      <c r="L12" s="9" t="n">
        <v>4000</v>
      </c>
      <c r="M12" s="9">
        <f>G12*L12</f>
        <v/>
      </c>
      <c r="N12" s="9">
        <f>M12*0.05</f>
        <v/>
      </c>
      <c r="O12" s="9" t="n">
        <v>0</v>
      </c>
      <c r="P12" s="9" t="n">
        <v>0</v>
      </c>
      <c r="Q12" s="9">
        <f>M12+N12</f>
        <v/>
      </c>
      <c r="R12" s="9" t="n">
        <v>6880</v>
      </c>
      <c r="S12" s="9" t="n">
        <v>4600</v>
      </c>
      <c r="T12" s="9" t="n">
        <v>5200</v>
      </c>
      <c r="U12" s="6" t="inlineStr"/>
      <c r="V12" s="6" t="inlineStr"/>
    </row>
    <row r="13" ht="24" customHeight="1">
      <c r="A13" s="2" t="n">
        <v>11</v>
      </c>
      <c r="B13" s="2" t="inlineStr">
        <is>
          <t>8A2428</t>
        </is>
      </c>
      <c r="C13" s="3" t="inlineStr">
        <is>
          <t>15-S-TSR</t>
        </is>
      </c>
      <c r="D13" s="2" t="inlineStr">
        <is>
          <t>500720</t>
        </is>
      </c>
      <c r="E13" s="2" t="inlineStr">
        <is>
          <t>GST 5 %</t>
        </is>
      </c>
      <c r="F13" s="2" t="inlineStr">
        <is>
          <t>Pc(s)</t>
        </is>
      </c>
      <c r="G13" s="4" t="n">
        <v>1</v>
      </c>
      <c r="H13" s="2" t="inlineStr"/>
      <c r="I13" s="5" t="n">
        <v>4000</v>
      </c>
      <c r="J13" s="5" t="n">
        <v>0</v>
      </c>
      <c r="K13" s="5" t="n">
        <v>0</v>
      </c>
      <c r="L13" s="5" t="n">
        <v>4000</v>
      </c>
      <c r="M13" s="5">
        <f>G13*L13</f>
        <v/>
      </c>
      <c r="N13" s="5">
        <f>M13*0.05</f>
        <v/>
      </c>
      <c r="O13" s="5" t="n">
        <v>0</v>
      </c>
      <c r="P13" s="5" t="n">
        <v>0</v>
      </c>
      <c r="Q13" s="5">
        <f>M13+N13</f>
        <v/>
      </c>
      <c r="R13" s="5" t="n">
        <v>6880</v>
      </c>
      <c r="S13" s="5" t="n">
        <v>4600</v>
      </c>
      <c r="T13" s="5" t="n">
        <v>5200</v>
      </c>
      <c r="U13" s="2" t="inlineStr"/>
      <c r="V13" s="2" t="inlineStr"/>
    </row>
    <row r="14">
      <c r="A14" s="10" t="inlineStr">
        <is>
          <t>Total</t>
        </is>
      </c>
      <c r="B14" s="17" t="n"/>
      <c r="C14" s="17" t="n"/>
      <c r="D14" s="17" t="n"/>
      <c r="E14" s="17" t="n"/>
      <c r="F14" s="18" t="n"/>
      <c r="G14" s="11">
        <f>SUM(G3:G13)</f>
        <v/>
      </c>
      <c r="H14" s="12">
        <f>SUM(H3:H13)</f>
        <v/>
      </c>
      <c r="I14" s="11">
        <f>SUM(I3:I13)</f>
        <v/>
      </c>
      <c r="J14" s="11">
        <f>SUM(J3:J13)</f>
        <v/>
      </c>
      <c r="K14" s="11">
        <f>SUM(K3:K13)</f>
        <v/>
      </c>
      <c r="L14" s="11">
        <f>SUM(L3:L13)</f>
        <v/>
      </c>
      <c r="M14" s="11">
        <f>SUM(M3:M13)</f>
        <v/>
      </c>
      <c r="N14" s="11">
        <f>SUM(N3:N13)</f>
        <v/>
      </c>
      <c r="O14" s="11">
        <f>SUM(O3:O13)</f>
        <v/>
      </c>
      <c r="P14" s="11">
        <f>SUM(P3:P13)</f>
        <v/>
      </c>
      <c r="Q14" s="11">
        <f>SUM(Q3:Q13)</f>
        <v/>
      </c>
      <c r="R14" s="11">
        <f>SUM(R3:R13)</f>
        <v/>
      </c>
      <c r="S14" s="11">
        <f>SUM(S3:S13)</f>
        <v/>
      </c>
      <c r="T14" s="11">
        <f>SUM(T3:T13)</f>
        <v/>
      </c>
      <c r="U14" s="11" t="n"/>
      <c r="V14" s="11" t="n"/>
    </row>
    <row r="17">
      <c r="A17" s="19" t="inlineStr">
        <is>
          <t>ITEM SUMMARY</t>
        </is>
      </c>
    </row>
    <row r="19">
      <c r="A19" s="20" t="inlineStr">
        <is>
          <t>Sl No</t>
        </is>
      </c>
      <c r="B19" s="20" t="inlineStr">
        <is>
          <t>Bill Sl No.</t>
        </is>
      </c>
      <c r="C19" s="20" t="inlineStr">
        <is>
          <t>Item Name</t>
        </is>
      </c>
      <c r="D19" s="20" t="inlineStr">
        <is>
          <t>QTY</t>
        </is>
      </c>
      <c r="E19" s="20" t="inlineStr">
        <is>
          <t>Before GST Amount</t>
        </is>
      </c>
      <c r="F19" s="20" t="inlineStr">
        <is>
          <t>GST Amount</t>
        </is>
      </c>
      <c r="G19" s="20" t="inlineStr">
        <is>
          <t>Net Amount</t>
        </is>
      </c>
    </row>
    <row r="20">
      <c r="A20" s="21" t="n">
        <v>1</v>
      </c>
      <c r="B20" s="21" t="n">
        <v>1</v>
      </c>
      <c r="C20" s="21" t="inlineStr">
        <is>
          <t>15-S-TSR</t>
        </is>
      </c>
      <c r="D20" s="22" t="n">
        <v>11</v>
      </c>
      <c r="E20" s="22" t="n">
        <v>44000</v>
      </c>
      <c r="F20" s="22" t="n">
        <v>2200</v>
      </c>
      <c r="G20" s="22" t="n">
        <v>46200</v>
      </c>
    </row>
    <row r="21">
      <c r="A21" s="23" t="n"/>
      <c r="B21" s="23" t="n"/>
      <c r="C21" s="24" t="inlineStr">
        <is>
          <t>Total</t>
        </is>
      </c>
      <c r="D21" s="25" t="n">
        <v>11</v>
      </c>
      <c r="E21" s="25" t="n">
        <v>44000</v>
      </c>
      <c r="F21" s="25" t="n">
        <v>2200</v>
      </c>
      <c r="G21" s="25" t="n">
        <v>46200</v>
      </c>
    </row>
  </sheetData>
  <mergeCells count="18">
    <mergeCell ref="U1:U2"/>
    <mergeCell ref="T1:T2"/>
    <mergeCell ref="I1:I2"/>
    <mergeCell ref="M1:M2"/>
    <mergeCell ref="A14:F14"/>
    <mergeCell ref="Q1:Q2"/>
    <mergeCell ref="O1:O2"/>
    <mergeCell ref="J1:K1"/>
    <mergeCell ref="G1:G2"/>
    <mergeCell ref="V1:V2"/>
    <mergeCell ref="B1:F1"/>
    <mergeCell ref="H1:H2"/>
    <mergeCell ref="L1:L2"/>
    <mergeCell ref="A1:A2"/>
    <mergeCell ref="P1:P2"/>
    <mergeCell ref="N1:N2"/>
    <mergeCell ref="S1:S2"/>
    <mergeCell ref="R1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2026-09-07T06:45:13Z</dcterms:created>
  <dcterms:modified xmlns:dcterms="http://purl.org/dc/terms/" xmlns:xsi="http://www.w3.org/2001/XMLSchema-instance" xsi:type="dcterms:W3CDTF">2026-09-12T04:42:02Z</dcterms:modified>
</cp:coreProperties>
</file>