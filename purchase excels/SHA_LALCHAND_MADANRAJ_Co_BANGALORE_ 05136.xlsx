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C8FFE88-7623-4F80-97A4-A7917741878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urchase Invoice Detail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4" i="1" l="1"/>
  <c r="F14" i="1" s="1"/>
  <c r="G14" i="1" s="1"/>
  <c r="D14" i="1"/>
  <c r="C14" i="1"/>
  <c r="E13" i="1"/>
  <c r="E15" i="1" s="1"/>
  <c r="D13" i="1"/>
  <c r="D15" i="1" s="1"/>
  <c r="C13" i="1"/>
  <c r="Q9" i="1"/>
  <c r="P9" i="1"/>
  <c r="O9" i="1"/>
  <c r="N9" i="1"/>
  <c r="M9" i="1"/>
  <c r="G9" i="1"/>
  <c r="F13" i="1" l="1"/>
  <c r="F15" i="1" s="1"/>
  <c r="G13" i="1"/>
  <c r="G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13" authorId="0" shapeId="0" xr:uid="{00000000-0006-0000-0000-000001000000}">
      <text>
        <r>
          <rPr>
            <sz val="10"/>
            <rFont val="Arial"/>
            <family val="2"/>
          </rPr>
          <t>GST @ 5% (GST Slab "GST 5 %")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<sst xmlns="http://schemas.openxmlformats.org/spreadsheetml/2006/main" count="65" uniqueCount="42">
  <si>
    <t>Sl No</t>
  </si>
  <si>
    <t>Item</t>
  </si>
  <si>
    <t>QTY/MTR</t>
  </si>
  <si>
    <t>No. of Cuts</t>
  </si>
  <si>
    <t>Purchase Rate</t>
  </si>
  <si>
    <t>Discount</t>
  </si>
  <si>
    <t>Final Rate</t>
  </si>
  <si>
    <t>Before Tax</t>
  </si>
  <si>
    <t>GST Amount</t>
  </si>
  <si>
    <t>Net Amount</t>
  </si>
  <si>
    <t>RSP</t>
  </si>
  <si>
    <t>WSP</t>
  </si>
  <si>
    <t>DP</t>
  </si>
  <si>
    <t>Variant</t>
  </si>
  <si>
    <t>Action</t>
  </si>
  <si>
    <t>Code</t>
  </si>
  <si>
    <t>Name</t>
  </si>
  <si>
    <t>HSN</t>
  </si>
  <si>
    <t>GST Slab</t>
  </si>
  <si>
    <t>UOM</t>
  </si>
  <si>
    <t>%</t>
  </si>
  <si>
    <t>R.Off</t>
  </si>
  <si>
    <t>IGST</t>
  </si>
  <si>
    <t>CGST</t>
  </si>
  <si>
    <t>SGST</t>
  </si>
  <si>
    <t>8A3354</t>
  </si>
  <si>
    <t>10-2*2BLK</t>
  </si>
  <si>
    <t>520811</t>
  </si>
  <si>
    <t>GST 5 %</t>
  </si>
  <si>
    <t>Mtr</t>
  </si>
  <si>
    <t>8A3355</t>
  </si>
  <si>
    <t>8A3356</t>
  </si>
  <si>
    <t>8A3357</t>
  </si>
  <si>
    <t>8A3358</t>
  </si>
  <si>
    <t>10-2BY2</t>
  </si>
  <si>
    <t>8A3359</t>
  </si>
  <si>
    <t>Total</t>
  </si>
  <si>
    <t>Item Summary</t>
  </si>
  <si>
    <t>Bill Sl No</t>
  </si>
  <si>
    <t>Item Name</t>
  </si>
  <si>
    <t>QTY</t>
  </si>
  <si>
    <t>Before GST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</si>
</sst>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b/>
      <sz val="11"/>
      <name val="Calibri"/>
      <charset val="1"/>
    </font>
    <font>
      <b/>
      <sz val="12"/>
      <color rgb="FF366092"/>
      <name val="Calibri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F2F5F9"/>
        <bgColor rgb="FFFFFFFF"/>
      </patternFill>
    </fill>
    <fill>
      <patternFill patternType="solid">
        <fgColor rgb="FFFFFFFF"/>
        <bgColor rgb="FFF2F5F9"/>
      </patternFill>
    </fill>
    <fill>
      <patternFill patternType="solid">
        <fgColor rgb="FFDCE6F1"/>
        <bgColor rgb="FFD9E1F2"/>
      </patternFill>
    </fill>
    <fill>
      <patternFill patternType="solid">
        <fgColor rgb="FFD9E1F2"/>
        <bgColor rgb="FFDCE6F1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1" fontId="2" fillId="4" borderId="2" xfId="0" applyNumberFormat="1" applyFont="1" applyFill="1" applyBorder="1" applyAlignment="1">
      <alignment horizontal="center" vertical="center"/>
    </xf>
    <xf numFmtId="4" fontId="2" fillId="4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" fontId="2" fillId="5" borderId="2" xfId="0" applyNumberFormat="1" applyFont="1" applyFill="1" applyBorder="1" applyAlignment="1">
      <alignment horizontal="center" vertical="center"/>
    </xf>
    <xf numFmtId="4" fontId="2" fillId="5" borderId="2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center" vertical="center"/>
    </xf>
    <xf numFmtId="1" fontId="3" fillId="6" borderId="3" xfId="0" applyNumberFormat="1" applyFont="1" applyFill="1" applyBorder="1" applyAlignment="1">
      <alignment horizontal="center" vertical="center"/>
    </xf>
    <xf numFmtId="4" fontId="3" fillId="6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center" vertical="center"/>
    </xf>
    <xf numFmtId="4" fontId="3" fillId="7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"/>
  <sheetViews>
    <sheetView tabSelected="1" zoomScaleNormal="100" workbookViewId="0">
      <selection sqref="A1:A2"/>
    </sheetView>
  </sheetViews>
  <sheetFormatPr defaultColWidth="8.6640625" defaultRowHeight="14.4" x14ac:dyDescent="0.3"/>
  <cols>
    <col min="1" max="1" width="8" customWidth="1"/>
    <col min="2" max="2" width="12" customWidth="1"/>
    <col min="3" max="3" width="14" customWidth="1"/>
    <col min="4" max="4" width="12" customWidth="1"/>
    <col min="5" max="5" width="20" customWidth="1"/>
    <col min="6" max="7" width="14" customWidth="1"/>
    <col min="8" max="8" width="15" customWidth="1"/>
    <col min="9" max="9" width="17" customWidth="1"/>
    <col min="10" max="10" width="12" customWidth="1"/>
    <col min="11" max="11" width="11" customWidth="1"/>
    <col min="12" max="12" width="14" customWidth="1"/>
    <col min="13" max="13" width="16" customWidth="1"/>
    <col min="14" max="16" width="12" customWidth="1"/>
    <col min="17" max="17" width="14" customWidth="1"/>
    <col min="18" max="20" width="12" customWidth="1"/>
    <col min="21" max="21" width="11" customWidth="1"/>
    <col min="22" max="22" width="12" customWidth="1"/>
  </cols>
  <sheetData>
    <row r="1" spans="1:22" ht="21.75" customHeight="1" x14ac:dyDescent="0.3">
      <c r="A1" s="2" t="s">
        <v>0</v>
      </c>
      <c r="B1" s="1" t="s">
        <v>1</v>
      </c>
      <c r="C1" s="1"/>
      <c r="D1" s="1"/>
      <c r="E1" s="1"/>
      <c r="F1" s="1"/>
      <c r="G1" s="2" t="s">
        <v>2</v>
      </c>
      <c r="H1" s="2" t="s">
        <v>3</v>
      </c>
      <c r="I1" s="2" t="s">
        <v>4</v>
      </c>
      <c r="J1" s="2" t="s">
        <v>5</v>
      </c>
      <c r="K1" s="2"/>
      <c r="L1" s="2" t="s">
        <v>6</v>
      </c>
      <c r="M1" s="2" t="s">
        <v>7</v>
      </c>
      <c r="N1" s="2" t="s">
        <v>8</v>
      </c>
      <c r="O1" s="2"/>
      <c r="P1" s="2"/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</row>
    <row r="2" spans="1:22" ht="21.75" customHeight="1" x14ac:dyDescent="0.3">
      <c r="A2" s="2"/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2"/>
      <c r="H2" s="2"/>
      <c r="I2" s="2"/>
      <c r="J2" s="3" t="s">
        <v>20</v>
      </c>
      <c r="K2" s="3" t="s">
        <v>21</v>
      </c>
      <c r="L2" s="2"/>
      <c r="M2" s="2"/>
      <c r="N2" s="3" t="s">
        <v>22</v>
      </c>
      <c r="O2" s="3" t="s">
        <v>23</v>
      </c>
      <c r="P2" s="3" t="s">
        <v>24</v>
      </c>
      <c r="Q2" s="2"/>
      <c r="R2" s="2"/>
      <c r="S2" s="2"/>
      <c r="T2" s="2"/>
      <c r="U2" s="2"/>
      <c r="V2" s="2"/>
    </row>
    <row r="3" spans="1:22" ht="19.5" customHeight="1" x14ac:dyDescent="0.3">
      <c r="A3" s="5">
        <v>1</v>
      </c>
      <c r="B3" s="5" t="s">
        <v>25</v>
      </c>
      <c r="C3" s="5" t="s">
        <v>26</v>
      </c>
      <c r="D3" s="6" t="s">
        <v>27</v>
      </c>
      <c r="E3" s="5" t="s">
        <v>28</v>
      </c>
      <c r="F3" s="5" t="s">
        <v>29</v>
      </c>
      <c r="G3" s="7">
        <v>18</v>
      </c>
      <c r="H3" s="5">
        <v>4</v>
      </c>
      <c r="I3" s="7">
        <v>130</v>
      </c>
      <c r="J3" s="7">
        <v>0</v>
      </c>
      <c r="K3" s="7">
        <v>0</v>
      </c>
      <c r="L3" s="7">
        <v>130</v>
      </c>
      <c r="M3" s="7">
        <v>2340</v>
      </c>
      <c r="N3" s="7">
        <v>117</v>
      </c>
      <c r="O3" s="7">
        <v>0</v>
      </c>
      <c r="P3" s="7">
        <v>0</v>
      </c>
      <c r="Q3" s="7">
        <v>2457</v>
      </c>
      <c r="R3" s="7">
        <v>258</v>
      </c>
      <c r="S3" s="7">
        <v>149.5</v>
      </c>
      <c r="T3" s="7">
        <v>169</v>
      </c>
      <c r="U3" s="5"/>
      <c r="V3" s="5"/>
    </row>
    <row r="4" spans="1:22" ht="19.5" customHeight="1" x14ac:dyDescent="0.3">
      <c r="A4" s="8">
        <v>2</v>
      </c>
      <c r="B4" s="8" t="s">
        <v>30</v>
      </c>
      <c r="C4" s="8" t="s">
        <v>26</v>
      </c>
      <c r="D4" s="9" t="s">
        <v>27</v>
      </c>
      <c r="E4" s="8" t="s">
        <v>28</v>
      </c>
      <c r="F4" s="8" t="s">
        <v>29</v>
      </c>
      <c r="G4" s="10">
        <v>18</v>
      </c>
      <c r="H4" s="8">
        <v>4</v>
      </c>
      <c r="I4" s="10">
        <v>130</v>
      </c>
      <c r="J4" s="10">
        <v>0</v>
      </c>
      <c r="K4" s="10">
        <v>0</v>
      </c>
      <c r="L4" s="10">
        <v>130</v>
      </c>
      <c r="M4" s="10">
        <v>2340</v>
      </c>
      <c r="N4" s="10">
        <v>117</v>
      </c>
      <c r="O4" s="10">
        <v>0</v>
      </c>
      <c r="P4" s="10">
        <v>0</v>
      </c>
      <c r="Q4" s="10">
        <v>2457</v>
      </c>
      <c r="R4" s="10">
        <v>258</v>
      </c>
      <c r="S4" s="10">
        <v>149.5</v>
      </c>
      <c r="T4" s="10">
        <v>169</v>
      </c>
      <c r="U4" s="8"/>
      <c r="V4" s="8"/>
    </row>
    <row r="5" spans="1:22" ht="19.5" customHeight="1" x14ac:dyDescent="0.3">
      <c r="A5" s="5">
        <v>3</v>
      </c>
      <c r="B5" s="5" t="s">
        <v>31</v>
      </c>
      <c r="C5" s="5" t="s">
        <v>26</v>
      </c>
      <c r="D5" s="6" t="s">
        <v>27</v>
      </c>
      <c r="E5" s="5" t="s">
        <v>28</v>
      </c>
      <c r="F5" s="5" t="s">
        <v>29</v>
      </c>
      <c r="G5" s="7">
        <v>18</v>
      </c>
      <c r="H5" s="5">
        <v>4</v>
      </c>
      <c r="I5" s="7">
        <v>130</v>
      </c>
      <c r="J5" s="7">
        <v>0</v>
      </c>
      <c r="K5" s="7">
        <v>0</v>
      </c>
      <c r="L5" s="7">
        <v>130</v>
      </c>
      <c r="M5" s="7">
        <v>2340</v>
      </c>
      <c r="N5" s="7">
        <v>117</v>
      </c>
      <c r="O5" s="7">
        <v>0</v>
      </c>
      <c r="P5" s="7">
        <v>0</v>
      </c>
      <c r="Q5" s="7">
        <v>2457</v>
      </c>
      <c r="R5" s="7">
        <v>258</v>
      </c>
      <c r="S5" s="7">
        <v>149.5</v>
      </c>
      <c r="T5" s="7">
        <v>169</v>
      </c>
      <c r="U5" s="5"/>
      <c r="V5" s="5"/>
    </row>
    <row r="6" spans="1:22" ht="19.5" customHeight="1" x14ac:dyDescent="0.3">
      <c r="A6" s="8">
        <v>4</v>
      </c>
      <c r="B6" s="8" t="s">
        <v>32</v>
      </c>
      <c r="C6" s="8" t="s">
        <v>26</v>
      </c>
      <c r="D6" s="9" t="s">
        <v>27</v>
      </c>
      <c r="E6" s="8" t="s">
        <v>28</v>
      </c>
      <c r="F6" s="8" t="s">
        <v>29</v>
      </c>
      <c r="G6" s="10">
        <v>18</v>
      </c>
      <c r="H6" s="8">
        <v>4</v>
      </c>
      <c r="I6" s="10">
        <v>130</v>
      </c>
      <c r="J6" s="10">
        <v>0</v>
      </c>
      <c r="K6" s="10">
        <v>0</v>
      </c>
      <c r="L6" s="10">
        <v>130</v>
      </c>
      <c r="M6" s="10">
        <v>2340</v>
      </c>
      <c r="N6" s="10">
        <v>117</v>
      </c>
      <c r="O6" s="10">
        <v>0</v>
      </c>
      <c r="P6" s="10">
        <v>0</v>
      </c>
      <c r="Q6" s="10">
        <v>2457</v>
      </c>
      <c r="R6" s="10">
        <v>258</v>
      </c>
      <c r="S6" s="10">
        <v>149.5</v>
      </c>
      <c r="T6" s="10">
        <v>169</v>
      </c>
      <c r="U6" s="8"/>
      <c r="V6" s="8"/>
    </row>
    <row r="7" spans="1:22" ht="19.5" customHeight="1" x14ac:dyDescent="0.3">
      <c r="A7" s="5">
        <v>5</v>
      </c>
      <c r="B7" s="5" t="s">
        <v>33</v>
      </c>
      <c r="C7" s="5" t="s">
        <v>34</v>
      </c>
      <c r="D7" s="6" t="s">
        <v>27</v>
      </c>
      <c r="E7" s="5" t="s">
        <v>28</v>
      </c>
      <c r="F7" s="5" t="s">
        <v>29</v>
      </c>
      <c r="G7" s="7">
        <v>15</v>
      </c>
      <c r="H7" s="5">
        <v>2</v>
      </c>
      <c r="I7" s="7">
        <v>130</v>
      </c>
      <c r="J7" s="7">
        <v>0</v>
      </c>
      <c r="K7" s="7">
        <v>0</v>
      </c>
      <c r="L7" s="7">
        <v>130</v>
      </c>
      <c r="M7" s="7">
        <v>1950</v>
      </c>
      <c r="N7" s="7">
        <v>97.5</v>
      </c>
      <c r="O7" s="7">
        <v>0</v>
      </c>
      <c r="P7" s="7">
        <v>0</v>
      </c>
      <c r="Q7" s="7">
        <v>2047.5</v>
      </c>
      <c r="R7" s="7">
        <v>258</v>
      </c>
      <c r="S7" s="7">
        <v>149.5</v>
      </c>
      <c r="T7" s="7">
        <v>169</v>
      </c>
      <c r="U7" s="5"/>
      <c r="V7" s="5"/>
    </row>
    <row r="8" spans="1:22" ht="19.5" customHeight="1" x14ac:dyDescent="0.3">
      <c r="A8" s="8">
        <v>6</v>
      </c>
      <c r="B8" s="8" t="s">
        <v>35</v>
      </c>
      <c r="C8" s="8" t="s">
        <v>34</v>
      </c>
      <c r="D8" s="9" t="s">
        <v>27</v>
      </c>
      <c r="E8" s="8" t="s">
        <v>28</v>
      </c>
      <c r="F8" s="8" t="s">
        <v>29</v>
      </c>
      <c r="G8" s="10">
        <v>16</v>
      </c>
      <c r="H8" s="8">
        <v>2</v>
      </c>
      <c r="I8" s="10">
        <v>130</v>
      </c>
      <c r="J8" s="10">
        <v>0</v>
      </c>
      <c r="K8" s="10">
        <v>0</v>
      </c>
      <c r="L8" s="10">
        <v>130</v>
      </c>
      <c r="M8" s="10">
        <v>2080</v>
      </c>
      <c r="N8" s="10">
        <v>104</v>
      </c>
      <c r="O8" s="10">
        <v>0</v>
      </c>
      <c r="P8" s="10">
        <v>0</v>
      </c>
      <c r="Q8" s="10">
        <v>2184</v>
      </c>
      <c r="R8" s="10">
        <v>258</v>
      </c>
      <c r="S8" s="10">
        <v>149.5</v>
      </c>
      <c r="T8" s="10">
        <v>169</v>
      </c>
      <c r="U8" s="8"/>
      <c r="V8" s="8"/>
    </row>
    <row r="9" spans="1:22" ht="15" customHeight="1" x14ac:dyDescent="0.3">
      <c r="A9" s="11" t="s">
        <v>36</v>
      </c>
      <c r="B9" s="12"/>
      <c r="C9" s="12"/>
      <c r="D9" s="13"/>
      <c r="E9" s="12"/>
      <c r="F9" s="12"/>
      <c r="G9" s="14">
        <f>SUM(G3:G8)</f>
        <v>103</v>
      </c>
      <c r="H9" s="12"/>
      <c r="I9" s="14"/>
      <c r="J9" s="14"/>
      <c r="K9" s="14"/>
      <c r="L9" s="14"/>
      <c r="M9" s="14">
        <f>SUM(M3:M8)</f>
        <v>13390</v>
      </c>
      <c r="N9" s="14">
        <f>SUM(N3:N8)</f>
        <v>669.5</v>
      </c>
      <c r="O9" s="14">
        <f>SUM(O3:O8)</f>
        <v>0</v>
      </c>
      <c r="P9" s="14">
        <f>SUM(P3:P8)</f>
        <v>0</v>
      </c>
      <c r="Q9" s="14">
        <f>SUM(Q3:Q8)</f>
        <v>14059.5</v>
      </c>
      <c r="R9" s="14"/>
      <c r="S9" s="14"/>
      <c r="T9" s="14"/>
      <c r="U9" s="12"/>
      <c r="V9" s="12"/>
    </row>
    <row r="11" spans="1:22" ht="21.75" customHeight="1" x14ac:dyDescent="0.3">
      <c r="A11" s="15" t="s">
        <v>37</v>
      </c>
    </row>
    <row r="12" spans="1:22" ht="24" customHeight="1" x14ac:dyDescent="0.3">
      <c r="A12" s="4" t="s">
        <v>0</v>
      </c>
      <c r="B12" s="4" t="s">
        <v>38</v>
      </c>
      <c r="C12" s="4" t="s">
        <v>39</v>
      </c>
      <c r="D12" s="4" t="s">
        <v>40</v>
      </c>
      <c r="E12" s="4" t="s">
        <v>41</v>
      </c>
      <c r="F12" s="4" t="s">
        <v>8</v>
      </c>
      <c r="G12" s="4" t="s">
        <v>9</v>
      </c>
    </row>
    <row r="13" spans="1:22" ht="19.5" customHeight="1" x14ac:dyDescent="0.3">
      <c r="A13" s="16">
        <v>1</v>
      </c>
      <c r="B13" s="16">
        <v>1</v>
      </c>
      <c r="C13" s="16" t="str">
        <f>C3</f>
        <v>10-2*2BLK</v>
      </c>
      <c r="D13" s="17">
        <f>SUM(G3:G6)</f>
        <v>72</v>
      </c>
      <c r="E13" s="17">
        <f>SUM(M3:M6)</f>
        <v>9360</v>
      </c>
      <c r="F13" s="17">
        <f>ROUND(E13*5%,2)</f>
        <v>468</v>
      </c>
      <c r="G13" s="17">
        <f>E13+F13</f>
        <v>9828</v>
      </c>
    </row>
    <row r="14" spans="1:22" ht="19.5" customHeight="1" x14ac:dyDescent="0.3">
      <c r="A14" s="16">
        <v>2</v>
      </c>
      <c r="B14" s="16">
        <v>2</v>
      </c>
      <c r="C14" s="16" t="str">
        <f>C7</f>
        <v>10-2BY2</v>
      </c>
      <c r="D14" s="17">
        <f>SUM(G7:G8)</f>
        <v>31</v>
      </c>
      <c r="E14" s="17">
        <f>SUM(M7:M8)</f>
        <v>4030</v>
      </c>
      <c r="F14" s="17">
        <f>ROUND(E14*5%,2)</f>
        <v>201.5</v>
      </c>
      <c r="G14" s="17">
        <f>E14+F14</f>
        <v>4231.5</v>
      </c>
    </row>
    <row r="15" spans="1:22" ht="19.5" customHeight="1" x14ac:dyDescent="0.3">
      <c r="A15" s="18" t="s">
        <v>36</v>
      </c>
      <c r="B15" s="19"/>
      <c r="C15" s="19"/>
      <c r="D15" s="20">
        <f>SUM(D13:D14)</f>
        <v>103</v>
      </c>
      <c r="E15" s="20">
        <f>SUM(E13:E14)</f>
        <v>13390</v>
      </c>
      <c r="F15" s="20">
        <f>SUM(F13:F14)</f>
        <v>669.5</v>
      </c>
      <c r="G15" s="20">
        <f>SUM(G13:G14)</f>
        <v>14059.5</v>
      </c>
    </row>
  </sheetData>
  <mergeCells count="15">
    <mergeCell ref="R1:R2"/>
    <mergeCell ref="S1:S2"/>
    <mergeCell ref="T1:T2"/>
    <mergeCell ref="U1:U2"/>
    <mergeCell ref="V1:V2"/>
    <mergeCell ref="J1:K1"/>
    <mergeCell ref="L1:L2"/>
    <mergeCell ref="M1:M2"/>
    <mergeCell ref="N1:P1"/>
    <mergeCell ref="Q1:Q2"/>
    <mergeCell ref="A1:A2"/>
    <mergeCell ref="B1:F1"/>
    <mergeCell ref="G1:G2"/>
    <mergeCell ref="H1:H2"/>
    <mergeCell ref="I1:I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Invoice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2026-09-09T09:27:36Z</dcterms:created>
  <dcterms:modified xsi:type="dcterms:W3CDTF">2026-09-10T07:08:29Z</dcterms:modified>
  <dc:language>en-US</dc:language>
</cp:coreProperties>
</file>