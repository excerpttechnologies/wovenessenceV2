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Sheet1!$A$1:$V$7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1" authorId="0">
      <text>
        <r>
          <rPr>
            <sz val="10"/>
            <rFont val="Arial"/>
            <family val="2"/>
          </rPr>
          <t xml:space="preserve">GST @ 5% (GST Slab "GST 5 %") on bill-wise Before GST Amount, rounded to 2 decimals.</t>
        </r>
      </text>
    </comment>
  </commentList>
</comments>
</file>

<file path=xl/sharedStrings.xml><?xml version="1.0" encoding="utf-8"?>
<sst xmlns="http://schemas.openxmlformats.org/spreadsheetml/2006/main" count="55" uniqueCount="41">
  <si>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</si>
  <si>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</si>
  <si>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</si>
  <si>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</si>
  <si>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</si>
  <si>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</si>
  <si>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</si>
  <si>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</si>
  <si>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</si>
  <si>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</si>
  <si>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</si>
  <si>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</si>
  <si>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</si>
  <si>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</si>
  <si>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</si>
  <si>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</si>
  <si>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</si>
  <si>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</si>
  <si>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</si>
  <si>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</si>
  <si>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</si>
  <si>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</si>
  <si>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</si>
  <si>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</si>
  <si>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</si>
  <si>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8A3487</t>
  </si>
  <si>
    <t xml:space="preserve">4-VNS</t>
  </si>
  <si>
    <t xml:space="preserve">540742</t>
  </si>
  <si>
    <t xml:space="preserve">GST 5 %</t>
  </si>
  <si>
    <t xml:space="preserve">Mtr</t>
  </si>
  <si>
    <t xml:space="preserve">8A3488</t>
  </si>
  <si>
    <t xml:space="preserve">8A3489</t>
  </si>
  <si>
    <t xml:space="preserve">4-F-W BDR</t>
  </si>
  <si>
    <t xml:space="preserve">521059</t>
  </si>
  <si>
    <t xml:space="preserve">8A3490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</si>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</sst>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true" outlineLevel="0" collapsed="false">
      <c r="A3" s="3" t="n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 t="n">
        <v>12</v>
      </c>
      <c r="H3" s="7" t="n">
        <v>2</v>
      </c>
      <c r="I3" s="6" t="n">
        <v>427</v>
      </c>
      <c r="J3" s="6" t="n">
        <v>0</v>
      </c>
      <c r="K3" s="6" t="n">
        <v>0</v>
      </c>
      <c r="L3" s="6" t="n">
        <v>427</v>
      </c>
      <c r="M3" s="6" t="n">
        <v>5124</v>
      </c>
      <c r="N3" s="6" t="n">
        <v>256.2</v>
      </c>
      <c r="O3" s="6" t="n">
        <v>0</v>
      </c>
      <c r="P3" s="6" t="n">
        <v>0</v>
      </c>
      <c r="Q3" s="6" t="n">
        <v>5380.2</v>
      </c>
      <c r="R3" s="6" t="n">
        <v>790</v>
      </c>
      <c r="S3" s="6" t="n">
        <v>491.05</v>
      </c>
      <c r="T3" s="6" t="n">
        <v>555.1</v>
      </c>
      <c r="U3" s="4"/>
      <c r="V3" s="4"/>
    </row>
    <row r="4" customFormat="false" ht="15" hidden="false" customHeight="true" outlineLevel="0" collapsed="false">
      <c r="A4" s="8" t="n">
        <v>2</v>
      </c>
      <c r="B4" s="9" t="s">
        <v>30</v>
      </c>
      <c r="C4" s="10" t="s">
        <v>26</v>
      </c>
      <c r="D4" s="9" t="s">
        <v>27</v>
      </c>
      <c r="E4" s="9" t="s">
        <v>28</v>
      </c>
      <c r="F4" s="9" t="s">
        <v>29</v>
      </c>
      <c r="G4" s="11" t="n">
        <v>11.6</v>
      </c>
      <c r="H4" s="12" t="n">
        <v>2</v>
      </c>
      <c r="I4" s="11" t="n">
        <v>427</v>
      </c>
      <c r="J4" s="11" t="n">
        <v>0</v>
      </c>
      <c r="K4" s="11" t="n">
        <v>0</v>
      </c>
      <c r="L4" s="11" t="n">
        <v>427</v>
      </c>
      <c r="M4" s="11" t="n">
        <v>4953.2</v>
      </c>
      <c r="N4" s="11" t="n">
        <v>247.66</v>
      </c>
      <c r="O4" s="11" t="n">
        <v>0</v>
      </c>
      <c r="P4" s="11" t="n">
        <v>0</v>
      </c>
      <c r="Q4" s="11" t="n">
        <v>5200.86</v>
      </c>
      <c r="R4" s="11" t="n">
        <v>790</v>
      </c>
      <c r="S4" s="11" t="n">
        <v>491.05</v>
      </c>
      <c r="T4" s="11" t="n">
        <v>555.1</v>
      </c>
      <c r="U4" s="9"/>
      <c r="V4" s="9"/>
    </row>
    <row r="5" customFormat="false" ht="15" hidden="false" customHeight="true" outlineLevel="0" collapsed="false">
      <c r="A5" s="3" t="n">
        <v>3</v>
      </c>
      <c r="B5" s="4" t="s">
        <v>31</v>
      </c>
      <c r="C5" s="5" t="s">
        <v>32</v>
      </c>
      <c r="D5" s="4" t="s">
        <v>33</v>
      </c>
      <c r="E5" s="4" t="s">
        <v>28</v>
      </c>
      <c r="F5" s="4" t="s">
        <v>29</v>
      </c>
      <c r="G5" s="6" t="n">
        <v>14</v>
      </c>
      <c r="H5" s="7" t="n">
        <v>2</v>
      </c>
      <c r="I5" s="6" t="n">
        <v>199</v>
      </c>
      <c r="J5" s="6" t="n">
        <v>0</v>
      </c>
      <c r="K5" s="6" t="n">
        <v>0</v>
      </c>
      <c r="L5" s="6" t="n">
        <v>199</v>
      </c>
      <c r="M5" s="6" t="n">
        <v>2786</v>
      </c>
      <c r="N5" s="6" t="n">
        <v>139.3</v>
      </c>
      <c r="O5" s="6" t="n">
        <v>0</v>
      </c>
      <c r="P5" s="6" t="n">
        <v>0</v>
      </c>
      <c r="Q5" s="6" t="n">
        <v>2925.3</v>
      </c>
      <c r="R5" s="6" t="n">
        <v>380</v>
      </c>
      <c r="S5" s="6" t="n">
        <v>228.85</v>
      </c>
      <c r="T5" s="6" t="n">
        <v>258.7</v>
      </c>
      <c r="U5" s="4"/>
      <c r="V5" s="4"/>
    </row>
    <row r="6" customFormat="false" ht="15" hidden="false" customHeight="true" outlineLevel="0" collapsed="false">
      <c r="A6" s="8" t="n">
        <v>4</v>
      </c>
      <c r="B6" s="9" t="s">
        <v>34</v>
      </c>
      <c r="C6" s="10" t="s">
        <v>32</v>
      </c>
      <c r="D6" s="9" t="s">
        <v>33</v>
      </c>
      <c r="E6" s="9" t="s">
        <v>28</v>
      </c>
      <c r="F6" s="9" t="s">
        <v>29</v>
      </c>
      <c r="G6" s="11" t="n">
        <v>14</v>
      </c>
      <c r="H6" s="12" t="n">
        <v>2</v>
      </c>
      <c r="I6" s="11" t="n">
        <v>199</v>
      </c>
      <c r="J6" s="11" t="n">
        <v>0</v>
      </c>
      <c r="K6" s="11" t="n">
        <v>0</v>
      </c>
      <c r="L6" s="11" t="n">
        <v>199</v>
      </c>
      <c r="M6" s="11" t="n">
        <v>2786</v>
      </c>
      <c r="N6" s="11" t="n">
        <v>139.3</v>
      </c>
      <c r="O6" s="11" t="n">
        <v>0</v>
      </c>
      <c r="P6" s="11" t="n">
        <v>0</v>
      </c>
      <c r="Q6" s="11" t="n">
        <v>2925.3</v>
      </c>
      <c r="R6" s="11" t="n">
        <v>380</v>
      </c>
      <c r="S6" s="11" t="n">
        <v>228.85</v>
      </c>
      <c r="T6" s="11" t="n">
        <v>258.7</v>
      </c>
      <c r="U6" s="9"/>
      <c r="V6" s="9"/>
    </row>
    <row r="7" customFormat="false" ht="15" hidden="false" customHeight="true" outlineLevel="0" collapsed="false">
      <c r="A7" s="13" t="s">
        <v>35</v>
      </c>
      <c r="B7" s="13"/>
      <c r="C7" s="14"/>
      <c r="D7" s="13"/>
      <c r="E7" s="13"/>
      <c r="F7" s="13"/>
      <c r="G7" s="15" t="n">
        <f aca="false">SUM(G3:G6)</f>
        <v>51.6</v>
      </c>
      <c r="H7" s="16" t="n">
        <f aca="false">SUM(H3:H6)</f>
        <v>8</v>
      </c>
      <c r="I7" s="15" t="n">
        <f aca="false">AVERAGE(I3:I6)</f>
        <v>313</v>
      </c>
      <c r="J7" s="15" t="n">
        <f aca="false">SUM(J3:J6)</f>
        <v>0</v>
      </c>
      <c r="K7" s="15" t="n">
        <f aca="false">SUM(K3:K6)</f>
        <v>0</v>
      </c>
      <c r="L7" s="15" t="n">
        <f aca="false">AVERAGE(L3:L6)</f>
        <v>313</v>
      </c>
      <c r="M7" s="15" t="n">
        <f aca="false">SUM(M3:M6)</f>
        <v>15649.2</v>
      </c>
      <c r="N7" s="15" t="n">
        <f aca="false">SUM(N3:N6)</f>
        <v>782.46</v>
      </c>
      <c r="O7" s="15" t="n">
        <f aca="false">SUM(O3:O6)</f>
        <v>0</v>
      </c>
      <c r="P7" s="15" t="n">
        <f aca="false">SUM(P3:P6)</f>
        <v>0</v>
      </c>
      <c r="Q7" s="15" t="n">
        <f aca="false">SUM(Q3:Q6)</f>
        <v>16431.66</v>
      </c>
      <c r="R7" s="15" t="n">
        <f aca="false">AVERAGE(R3:R6)</f>
        <v>585</v>
      </c>
      <c r="S7" s="15" t="n">
        <f aca="false">AVERAGE(S3:S6)</f>
        <v>359.95</v>
      </c>
      <c r="T7" s="15" t="n">
        <f aca="false">AVERAGE(T3:T6)</f>
        <v>406.9</v>
      </c>
      <c r="U7" s="13"/>
      <c r="V7" s="13"/>
    </row>
    <row r="8" customFormat="false" ht="15" hidden="false" customHeight="true" outlineLevel="0" collapsed="false"/>
    <row r="9" customFormat="false" ht="21.75" hidden="false" customHeight="true" outlineLevel="0" collapsed="false">
      <c r="A9" s="17" t="s">
        <v>36</v>
      </c>
    </row>
    <row r="10" customFormat="false" ht="24" hidden="false" customHeight="true" outlineLevel="0" collapsed="false">
      <c r="A10" s="2" t="s">
        <v>0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8</v>
      </c>
      <c r="G10" s="2" t="s">
        <v>9</v>
      </c>
    </row>
    <row r="11" customFormat="false" ht="19.5" hidden="false" customHeight="true" outlineLevel="0" collapsed="false">
      <c r="A11" s="18" t="n">
        <v>1</v>
      </c>
      <c r="B11" s="18" t="n">
        <v>1</v>
      </c>
      <c r="C11" s="18" t="str">
        <f aca="false">C3</f>
        <v>4-VNS</v>
      </c>
      <c r="D11" s="19" t="n">
        <f aca="false">SUM(G3:G4)</f>
        <v>23.6</v>
      </c>
      <c r="E11" s="19" t="n">
        <f aca="false">SUM(M3:M4)</f>
        <v>10077.2</v>
      </c>
      <c r="F11" s="19" t="n">
        <f aca="false">ROUND(E11*5%,2)</f>
        <v>503.86</v>
      </c>
      <c r="G11" s="19" t="n">
        <f aca="false">E11+F11</f>
        <v>10581.06</v>
      </c>
    </row>
    <row r="12" customFormat="false" ht="19.5" hidden="false" customHeight="true" outlineLevel="0" collapsed="false">
      <c r="A12" s="18" t="n">
        <v>2</v>
      </c>
      <c r="B12" s="18" t="n">
        <v>2</v>
      </c>
      <c r="C12" s="18" t="str">
        <f aca="false">C5</f>
        <v>4-F-W BDR</v>
      </c>
      <c r="D12" s="19" t="n">
        <f aca="false">SUM(G5:G6)</f>
        <v>28</v>
      </c>
      <c r="E12" s="19" t="n">
        <f aca="false">SUM(M5:M6)</f>
        <v>5572</v>
      </c>
      <c r="F12" s="19" t="n">
        <f aca="false">ROUND(E12*5%,2)</f>
        <v>278.6</v>
      </c>
      <c r="G12" s="19" t="n">
        <f aca="false">E12+F12</f>
        <v>5850.6</v>
      </c>
    </row>
    <row r="13" customFormat="false" ht="19.5" hidden="false" customHeight="true" outlineLevel="0" collapsed="false">
      <c r="A13" s="20" t="s">
        <v>35</v>
      </c>
      <c r="B13" s="21"/>
      <c r="C13" s="21"/>
      <c r="D13" s="22" t="n">
        <f aca="false">SUM(D11:D12)</f>
        <v>51.6</v>
      </c>
      <c r="E13" s="22" t="n">
        <f aca="false">SUM(E11:E12)</f>
        <v>15649.2</v>
      </c>
      <c r="F13" s="22" t="n">
        <f aca="false">SUM(F11:F12)</f>
        <v>782.46</v>
      </c>
      <c r="G13" s="22" t="n">
        <f aca="false">SUM(G11:G12)</f>
        <v>16431.66</v>
      </c>
    </row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</sheetData>
  <autoFilter ref="A1:V7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>Admin</cp:lastModifiedBy>
  <dcterms:modified xsi:type="dcterms:W3CDTF">2026-09-10T06:59:56Z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