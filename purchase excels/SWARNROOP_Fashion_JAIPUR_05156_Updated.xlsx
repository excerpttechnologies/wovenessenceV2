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urchase Invoice Detail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<sst xmlns="http://schemas.openxmlformats.org/spreadsheetml/2006/main" count="287" uniqueCount="83">
  <si>
    <t xml:space="preserve">Sl No</t>
  </si>
  <si>
    <t xml:space="preserve">Item</t>
  </si>
  <si>
    <t xml:space="preserve">QTY/MTR</t>
  </si>
  <si>
    <t xml:space="preserve">No. of Cuts</t>
  </si>
  <si>
    <t xml:space="preserve">Purchase Rate</t>
  </si>
  <si>
    <t xml:space="preserve">Discount</t>
  </si>
  <si>
    <t xml:space="preserve">Final Rate</t>
  </si>
  <si>
    <t xml:space="preserve">Before Tax</t>
  </si>
  <si>
    <t xml:space="preserve">GST Amount</t>
  </si>
  <si>
    <t xml:space="preserve">Net Amount</t>
  </si>
  <si>
    <t xml:space="preserve">RSP</t>
  </si>
  <si>
    <t xml:space="preserve">WSP</t>
  </si>
  <si>
    <t xml:space="preserve">DP</t>
  </si>
  <si>
    <t xml:space="preserve">Variant</t>
  </si>
  <si>
    <t xml:space="preserve">Action</t>
  </si>
  <si>
    <t xml:space="preserve">Code</t>
  </si>
  <si>
    <t xml:space="preserve">Name</t>
  </si>
  <si>
    <t xml:space="preserve">HSN</t>
  </si>
  <si>
    <t xml:space="preserve">GST Slab</t>
  </si>
  <si>
    <t xml:space="preserve">UOM</t>
  </si>
  <si>
    <t xml:space="preserve">%</t>
  </si>
  <si>
    <t xml:space="preserve">R.Off</t>
  </si>
  <si>
    <t xml:space="preserve">IGST</t>
  </si>
  <si>
    <t xml:space="preserve">CGST</t>
  </si>
  <si>
    <t xml:space="preserve">SGST</t>
  </si>
  <si>
    <t xml:space="preserve">8A4195</t>
  </si>
  <si>
    <t xml:space="preserve">3PC-ASUIT</t>
  </si>
  <si>
    <t xml:space="preserve">55151190</t>
  </si>
  <si>
    <t xml:space="preserve">GST 5 %</t>
  </si>
  <si>
    <t xml:space="preserve">Pc(s)</t>
  </si>
  <si>
    <t xml:space="preserve">8A4196</t>
  </si>
  <si>
    <t xml:space="preserve">8A4197</t>
  </si>
  <si>
    <t xml:space="preserve">8A4198</t>
  </si>
  <si>
    <t xml:space="preserve">8A4199</t>
  </si>
  <si>
    <t xml:space="preserve">8A4200</t>
  </si>
  <si>
    <t xml:space="preserve">8A4201</t>
  </si>
  <si>
    <t xml:space="preserve">8A4202</t>
  </si>
  <si>
    <t xml:space="preserve">8A4203</t>
  </si>
  <si>
    <t xml:space="preserve">8A4204</t>
  </si>
  <si>
    <t xml:space="preserve">8A4205</t>
  </si>
  <si>
    <t xml:space="preserve">8A4206</t>
  </si>
  <si>
    <t xml:space="preserve">8A4207</t>
  </si>
  <si>
    <t xml:space="preserve">8A4208</t>
  </si>
  <si>
    <t xml:space="preserve">8A4209</t>
  </si>
  <si>
    <t xml:space="preserve">8A4210</t>
  </si>
  <si>
    <t xml:space="preserve">8A4211</t>
  </si>
  <si>
    <t xml:space="preserve">8A4212</t>
  </si>
  <si>
    <t xml:space="preserve">8A4213</t>
  </si>
  <si>
    <t xml:space="preserve">8A4214</t>
  </si>
  <si>
    <t xml:space="preserve">8A4215</t>
  </si>
  <si>
    <t xml:space="preserve">8A4216</t>
  </si>
  <si>
    <t xml:space="preserve">8A4217</t>
  </si>
  <si>
    <t xml:space="preserve">8A4218</t>
  </si>
  <si>
    <t xml:space="preserve">8A4219</t>
  </si>
  <si>
    <t xml:space="preserve">8A4220</t>
  </si>
  <si>
    <t xml:space="preserve">8A4221</t>
  </si>
  <si>
    <t xml:space="preserve">8A4222</t>
  </si>
  <si>
    <t xml:space="preserve">8A4223</t>
  </si>
  <si>
    <t xml:space="preserve">8A4224</t>
  </si>
  <si>
    <t xml:space="preserve">8A4225</t>
  </si>
  <si>
    <t xml:space="preserve">8A4226</t>
  </si>
  <si>
    <t xml:space="preserve">8A4227</t>
  </si>
  <si>
    <t xml:space="preserve">8A4228</t>
  </si>
  <si>
    <t xml:space="preserve">8A4229</t>
  </si>
  <si>
    <t xml:space="preserve">8A4230</t>
  </si>
  <si>
    <t xml:space="preserve">8A4231</t>
  </si>
  <si>
    <t xml:space="preserve">8A4232</t>
  </si>
  <si>
    <t xml:space="preserve">8A4233</t>
  </si>
  <si>
    <t xml:space="preserve">8A4234</t>
  </si>
  <si>
    <t xml:space="preserve">8A4235</t>
  </si>
  <si>
    <t xml:space="preserve">8A4236</t>
  </si>
  <si>
    <t xml:space="preserve">8A4237</t>
  </si>
  <si>
    <t xml:space="preserve">8A4238</t>
  </si>
  <si>
    <t xml:space="preserve">8A4239</t>
  </si>
  <si>
    <t xml:space="preserve">8A4240</t>
  </si>
  <si>
    <t xml:space="preserve">8A4241</t>
  </si>
  <si>
    <t xml:space="preserve">8A4242</t>
  </si>
  <si>
    <t xml:space="preserve">Total</t>
  </si>
  <si>
    <t xml:space="preserve">Item Summary</t>
  </si>
  <si>
    <t xml:space="preserve">Bill Sl No</t>
  </si>
  <si>
    <t xml:space="preserve">Item Name</t>
  </si>
  <si>
    <t xml:space="preserve">QTY</t>
  </si>
  <si>
    <t xml:space="preserve">Before GST Amount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</si>
</sst>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#,##0"/>
    <numFmt numFmtId="167" formatCode="0.0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1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2"/>
      <color rgb="FF366092"/>
      <name val="Calibri"/>
      <family val="0"/>
      <charset val="1"/>
    </font>
    <font>
      <sz val="10"/>
      <name val="Calibri"/>
      <family val="0"/>
      <charset val="1"/>
    </font>
    <font>
      <b val="true"/>
      <sz val="11"/>
      <color rgb="FF00000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33399"/>
      </patternFill>
    </fill>
    <fill>
      <patternFill patternType="solid">
        <fgColor rgb="FFD9E1F2"/>
        <bgColor rgb="FFD9D9D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false" outlineLevel="0" max="9" min="9" style="0" width="17"/>
    <col collapsed="false" customWidth="true" hidden="false" outlineLevel="0" max="10" min="10" style="0" width="12"/>
    <col collapsed="false" customWidth="true" hidden="false" outlineLevel="0" max="11" min="11" style="0" width="11"/>
    <col collapsed="false" customWidth="true" hidden="false" outlineLevel="0" max="12" min="12" style="0" width="14"/>
    <col collapsed="false" customWidth="true" hidden="false" outlineLevel="0" max="13" min="13" style="0" width="16"/>
    <col collapsed="false" customWidth="true" hidden="false" outlineLevel="0" max="17" min="14" style="0" width="13"/>
    <col collapsed="false" customWidth="true" hidden="false" outlineLevel="0" max="18" min="18" style="0" width="12"/>
    <col collapsed="false" customWidth="true" hidden="false" outlineLevel="0" max="20" min="19" style="0" width="13"/>
    <col collapsed="false" customWidth="true" hidden="false" outlineLevel="0" max="21" min="21" style="0" width="11"/>
    <col collapsed="false" customWidth="true" hidden="false" outlineLevel="0" max="22" min="22" style="0" width="13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/>
      <c r="D1" s="1"/>
      <c r="E1" s="1"/>
      <c r="F1" s="1"/>
      <c r="G1" s="1" t="s">
        <v>2</v>
      </c>
      <c r="H1" s="1" t="s">
        <v>3</v>
      </c>
      <c r="I1" s="1" t="s">
        <v>4</v>
      </c>
      <c r="J1" s="1" t="s">
        <v>5</v>
      </c>
      <c r="K1" s="1"/>
      <c r="L1" s="1" t="s">
        <v>6</v>
      </c>
      <c r="M1" s="1" t="s">
        <v>7</v>
      </c>
      <c r="N1" s="1" t="s">
        <v>8</v>
      </c>
      <c r="O1" s="1"/>
      <c r="P1" s="1"/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</row>
    <row r="2" customFormat="false" ht="21.75" hidden="false" customHeight="true" outlineLevel="0" collapsed="false">
      <c r="A2" s="1"/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/>
      <c r="H2" s="1"/>
      <c r="I2" s="1"/>
      <c r="J2" s="1" t="s">
        <v>20</v>
      </c>
      <c r="K2" s="1" t="s">
        <v>21</v>
      </c>
      <c r="L2" s="1"/>
      <c r="M2" s="1"/>
      <c r="N2" s="1" t="s">
        <v>22</v>
      </c>
      <c r="O2" s="1" t="s">
        <v>23</v>
      </c>
      <c r="P2" s="1" t="s">
        <v>24</v>
      </c>
      <c r="Q2" s="1"/>
      <c r="R2" s="1"/>
      <c r="S2" s="1"/>
      <c r="T2" s="1"/>
      <c r="U2" s="1"/>
      <c r="V2" s="1"/>
    </row>
    <row r="3" customFormat="false" ht="19.5" hidden="false" customHeight="true" outlineLevel="0" collapsed="false">
      <c r="A3" s="2" t="n">
        <v>1</v>
      </c>
      <c r="B3" s="3" t="s">
        <v>25</v>
      </c>
      <c r="C3" s="3" t="s">
        <v>26</v>
      </c>
      <c r="D3" s="2" t="s">
        <v>27</v>
      </c>
      <c r="E3" s="2" t="s">
        <v>28</v>
      </c>
      <c r="F3" s="2" t="s">
        <v>29</v>
      </c>
      <c r="G3" s="4" t="n">
        <v>1</v>
      </c>
      <c r="H3" s="5"/>
      <c r="I3" s="4" t="n">
        <v>2095</v>
      </c>
      <c r="J3" s="6" t="n">
        <v>0</v>
      </c>
      <c r="K3" s="4" t="n">
        <v>0</v>
      </c>
      <c r="L3" s="4" t="n">
        <f aca="false">I3*(1-J3)-K3</f>
        <v>2095</v>
      </c>
      <c r="M3" s="4" t="n">
        <f aca="false">G3*L3</f>
        <v>2095</v>
      </c>
      <c r="N3" s="4" t="n">
        <v>104.75</v>
      </c>
      <c r="O3" s="4" t="n">
        <v>0</v>
      </c>
      <c r="P3" s="4" t="n">
        <v>0</v>
      </c>
      <c r="Q3" s="4" t="n">
        <f aca="false">M3+N3+O3+P3</f>
        <v>2199.75</v>
      </c>
      <c r="R3" s="4" t="n">
        <v>3780</v>
      </c>
      <c r="S3" s="4" t="n">
        <v>2409.25</v>
      </c>
      <c r="T3" s="4" t="n">
        <v>2723.5</v>
      </c>
      <c r="U3" s="4"/>
      <c r="V3" s="4"/>
    </row>
    <row r="4" customFormat="false" ht="19.5" hidden="false" customHeight="true" outlineLevel="0" collapsed="false">
      <c r="A4" s="2" t="n">
        <v>2</v>
      </c>
      <c r="B4" s="3" t="s">
        <v>30</v>
      </c>
      <c r="C4" s="3" t="s">
        <v>26</v>
      </c>
      <c r="D4" s="2" t="s">
        <v>27</v>
      </c>
      <c r="E4" s="2" t="s">
        <v>28</v>
      </c>
      <c r="F4" s="2" t="s">
        <v>29</v>
      </c>
      <c r="G4" s="4" t="n">
        <v>1</v>
      </c>
      <c r="H4" s="5"/>
      <c r="I4" s="4" t="n">
        <v>2095</v>
      </c>
      <c r="J4" s="6" t="n">
        <v>0</v>
      </c>
      <c r="K4" s="4" t="n">
        <v>0</v>
      </c>
      <c r="L4" s="4" t="n">
        <f aca="false">I4*(1-J4)-K4</f>
        <v>2095</v>
      </c>
      <c r="M4" s="4" t="n">
        <f aca="false">G4*L4</f>
        <v>2095</v>
      </c>
      <c r="N4" s="4" t="n">
        <v>104.75</v>
      </c>
      <c r="O4" s="4" t="n">
        <v>0</v>
      </c>
      <c r="P4" s="4" t="n">
        <v>0</v>
      </c>
      <c r="Q4" s="4" t="n">
        <f aca="false">M4+N4+O4+P4</f>
        <v>2199.75</v>
      </c>
      <c r="R4" s="4" t="n">
        <v>3780</v>
      </c>
      <c r="S4" s="4" t="n">
        <v>2409.25</v>
      </c>
      <c r="T4" s="4" t="n">
        <v>2723.5</v>
      </c>
      <c r="U4" s="4"/>
      <c r="V4" s="4"/>
    </row>
    <row r="5" customFormat="false" ht="19.5" hidden="false" customHeight="true" outlineLevel="0" collapsed="false">
      <c r="A5" s="2" t="n">
        <v>3</v>
      </c>
      <c r="B5" s="3" t="s">
        <v>31</v>
      </c>
      <c r="C5" s="3" t="s">
        <v>26</v>
      </c>
      <c r="D5" s="2" t="s">
        <v>27</v>
      </c>
      <c r="E5" s="2" t="s">
        <v>28</v>
      </c>
      <c r="F5" s="2" t="s">
        <v>29</v>
      </c>
      <c r="G5" s="4" t="n">
        <v>1</v>
      </c>
      <c r="H5" s="5"/>
      <c r="I5" s="4" t="n">
        <v>2095</v>
      </c>
      <c r="J5" s="6" t="n">
        <v>0</v>
      </c>
      <c r="K5" s="4" t="n">
        <v>0</v>
      </c>
      <c r="L5" s="4" t="n">
        <f aca="false">I5*(1-J5)-K5</f>
        <v>2095</v>
      </c>
      <c r="M5" s="4" t="n">
        <f aca="false">G5*L5</f>
        <v>2095</v>
      </c>
      <c r="N5" s="4" t="n">
        <v>104.75</v>
      </c>
      <c r="O5" s="4" t="n">
        <v>0</v>
      </c>
      <c r="P5" s="4" t="n">
        <v>0</v>
      </c>
      <c r="Q5" s="4" t="n">
        <f aca="false">M5+N5+O5+P5</f>
        <v>2199.75</v>
      </c>
      <c r="R5" s="4" t="n">
        <v>3780</v>
      </c>
      <c r="S5" s="4" t="n">
        <v>2409.25</v>
      </c>
      <c r="T5" s="4" t="n">
        <v>2723.5</v>
      </c>
      <c r="U5" s="4"/>
      <c r="V5" s="4"/>
    </row>
    <row r="6" customFormat="false" ht="19.5" hidden="false" customHeight="true" outlineLevel="0" collapsed="false">
      <c r="A6" s="2" t="n">
        <v>4</v>
      </c>
      <c r="B6" s="3" t="s">
        <v>32</v>
      </c>
      <c r="C6" s="3" t="s">
        <v>26</v>
      </c>
      <c r="D6" s="2" t="s">
        <v>27</v>
      </c>
      <c r="E6" s="2" t="s">
        <v>28</v>
      </c>
      <c r="F6" s="2" t="s">
        <v>29</v>
      </c>
      <c r="G6" s="4" t="n">
        <v>1</v>
      </c>
      <c r="H6" s="5"/>
      <c r="I6" s="4" t="n">
        <v>2095</v>
      </c>
      <c r="J6" s="6" t="n">
        <v>0</v>
      </c>
      <c r="K6" s="4" t="n">
        <v>0</v>
      </c>
      <c r="L6" s="4" t="n">
        <f aca="false">I6*(1-J6)-K6</f>
        <v>2095</v>
      </c>
      <c r="M6" s="4" t="n">
        <f aca="false">G6*L6</f>
        <v>2095</v>
      </c>
      <c r="N6" s="4" t="n">
        <v>104.75</v>
      </c>
      <c r="O6" s="4" t="n">
        <v>0</v>
      </c>
      <c r="P6" s="4" t="n">
        <v>0</v>
      </c>
      <c r="Q6" s="4" t="n">
        <f aca="false">M6+N6+O6+P6</f>
        <v>2199.75</v>
      </c>
      <c r="R6" s="4" t="n">
        <v>3780</v>
      </c>
      <c r="S6" s="4" t="n">
        <v>2409.25</v>
      </c>
      <c r="T6" s="4" t="n">
        <v>2723.5</v>
      </c>
      <c r="U6" s="4"/>
      <c r="V6" s="4"/>
    </row>
    <row r="7" customFormat="false" ht="19.5" hidden="false" customHeight="true" outlineLevel="0" collapsed="false">
      <c r="A7" s="2" t="n">
        <v>5</v>
      </c>
      <c r="B7" s="3" t="s">
        <v>33</v>
      </c>
      <c r="C7" s="3" t="s">
        <v>26</v>
      </c>
      <c r="D7" s="2" t="s">
        <v>27</v>
      </c>
      <c r="E7" s="2" t="s">
        <v>28</v>
      </c>
      <c r="F7" s="2" t="s">
        <v>29</v>
      </c>
      <c r="G7" s="4" t="n">
        <v>1</v>
      </c>
      <c r="H7" s="5"/>
      <c r="I7" s="4" t="n">
        <v>2295</v>
      </c>
      <c r="J7" s="6" t="n">
        <v>0</v>
      </c>
      <c r="K7" s="4" t="n">
        <v>0</v>
      </c>
      <c r="L7" s="4" t="n">
        <f aca="false">I7*(1-J7)-K7</f>
        <v>2295</v>
      </c>
      <c r="M7" s="4" t="n">
        <f aca="false">G7*L7</f>
        <v>2295</v>
      </c>
      <c r="N7" s="4" t="n">
        <v>114.75</v>
      </c>
      <c r="O7" s="4" t="n">
        <v>0</v>
      </c>
      <c r="P7" s="4" t="n">
        <v>0</v>
      </c>
      <c r="Q7" s="4" t="n">
        <f aca="false">M7+N7+O7+P7</f>
        <v>2409.75</v>
      </c>
      <c r="R7" s="4" t="n">
        <v>4180</v>
      </c>
      <c r="S7" s="4" t="n">
        <v>2639.25</v>
      </c>
      <c r="T7" s="4" t="n">
        <v>2983.5</v>
      </c>
      <c r="U7" s="4"/>
      <c r="V7" s="4"/>
    </row>
    <row r="8" customFormat="false" ht="19.5" hidden="false" customHeight="true" outlineLevel="0" collapsed="false">
      <c r="A8" s="2" t="n">
        <v>6</v>
      </c>
      <c r="B8" s="3" t="s">
        <v>34</v>
      </c>
      <c r="C8" s="3" t="s">
        <v>26</v>
      </c>
      <c r="D8" s="2" t="s">
        <v>27</v>
      </c>
      <c r="E8" s="2" t="s">
        <v>28</v>
      </c>
      <c r="F8" s="2" t="s">
        <v>29</v>
      </c>
      <c r="G8" s="4" t="n">
        <v>1</v>
      </c>
      <c r="H8" s="5"/>
      <c r="I8" s="4" t="n">
        <v>2295</v>
      </c>
      <c r="J8" s="6" t="n">
        <v>0</v>
      </c>
      <c r="K8" s="4" t="n">
        <v>0</v>
      </c>
      <c r="L8" s="4" t="n">
        <f aca="false">I8*(1-J8)-K8</f>
        <v>2295</v>
      </c>
      <c r="M8" s="4" t="n">
        <f aca="false">G8*L8</f>
        <v>2295</v>
      </c>
      <c r="N8" s="4" t="n">
        <v>114.75</v>
      </c>
      <c r="O8" s="4" t="n">
        <v>0</v>
      </c>
      <c r="P8" s="4" t="n">
        <v>0</v>
      </c>
      <c r="Q8" s="4" t="n">
        <f aca="false">M8+N8+O8+P8</f>
        <v>2409.75</v>
      </c>
      <c r="R8" s="4" t="n">
        <v>4180</v>
      </c>
      <c r="S8" s="4" t="n">
        <v>2639.25</v>
      </c>
      <c r="T8" s="4" t="n">
        <v>2983.5</v>
      </c>
      <c r="U8" s="4"/>
      <c r="V8" s="4"/>
    </row>
    <row r="9" customFormat="false" ht="19.5" hidden="false" customHeight="true" outlineLevel="0" collapsed="false">
      <c r="A9" s="2" t="n">
        <v>7</v>
      </c>
      <c r="B9" s="3" t="s">
        <v>35</v>
      </c>
      <c r="C9" s="3" t="s">
        <v>26</v>
      </c>
      <c r="D9" s="2" t="s">
        <v>27</v>
      </c>
      <c r="E9" s="2" t="s">
        <v>28</v>
      </c>
      <c r="F9" s="2" t="s">
        <v>29</v>
      </c>
      <c r="G9" s="4" t="n">
        <v>1</v>
      </c>
      <c r="H9" s="5"/>
      <c r="I9" s="4" t="n">
        <v>2295</v>
      </c>
      <c r="J9" s="6" t="n">
        <v>0</v>
      </c>
      <c r="K9" s="4" t="n">
        <v>0</v>
      </c>
      <c r="L9" s="4" t="n">
        <f aca="false">I9*(1-J9)-K9</f>
        <v>2295</v>
      </c>
      <c r="M9" s="4" t="n">
        <f aca="false">G9*L9</f>
        <v>2295</v>
      </c>
      <c r="N9" s="4" t="n">
        <v>114.75</v>
      </c>
      <c r="O9" s="4" t="n">
        <v>0</v>
      </c>
      <c r="P9" s="4" t="n">
        <v>0</v>
      </c>
      <c r="Q9" s="4" t="n">
        <f aca="false">M9+N9+O9+P9</f>
        <v>2409.75</v>
      </c>
      <c r="R9" s="4" t="n">
        <v>4180</v>
      </c>
      <c r="S9" s="4" t="n">
        <v>2639.25</v>
      </c>
      <c r="T9" s="4" t="n">
        <v>2983.5</v>
      </c>
      <c r="U9" s="4"/>
      <c r="V9" s="4"/>
    </row>
    <row r="10" customFormat="false" ht="19.5" hidden="false" customHeight="true" outlineLevel="0" collapsed="false">
      <c r="A10" s="2" t="n">
        <v>8</v>
      </c>
      <c r="B10" s="3" t="s">
        <v>36</v>
      </c>
      <c r="C10" s="3" t="s">
        <v>26</v>
      </c>
      <c r="D10" s="2" t="s">
        <v>27</v>
      </c>
      <c r="E10" s="2" t="s">
        <v>28</v>
      </c>
      <c r="F10" s="2" t="s">
        <v>29</v>
      </c>
      <c r="G10" s="4" t="n">
        <v>1</v>
      </c>
      <c r="H10" s="5"/>
      <c r="I10" s="4" t="n">
        <v>2495</v>
      </c>
      <c r="J10" s="6" t="n">
        <v>0</v>
      </c>
      <c r="K10" s="4" t="n">
        <v>0</v>
      </c>
      <c r="L10" s="4" t="n">
        <f aca="false">I10*(1-J10)-K10</f>
        <v>2495</v>
      </c>
      <c r="M10" s="4" t="n">
        <f aca="false">G10*L10</f>
        <v>2495</v>
      </c>
      <c r="N10" s="4" t="n">
        <v>124.75</v>
      </c>
      <c r="O10" s="4" t="n">
        <v>0</v>
      </c>
      <c r="P10" s="4" t="n">
        <v>0</v>
      </c>
      <c r="Q10" s="4" t="n">
        <f aca="false">M10+N10+O10+P10</f>
        <v>2619.75</v>
      </c>
      <c r="R10" s="4" t="n">
        <v>4480</v>
      </c>
      <c r="S10" s="4" t="n">
        <v>2869.25</v>
      </c>
      <c r="T10" s="4" t="n">
        <v>3243.5</v>
      </c>
      <c r="U10" s="4"/>
      <c r="V10" s="4"/>
    </row>
    <row r="11" customFormat="false" ht="19.5" hidden="false" customHeight="true" outlineLevel="0" collapsed="false">
      <c r="A11" s="2" t="n">
        <v>9</v>
      </c>
      <c r="B11" s="3" t="s">
        <v>37</v>
      </c>
      <c r="C11" s="3" t="s">
        <v>26</v>
      </c>
      <c r="D11" s="2" t="s">
        <v>27</v>
      </c>
      <c r="E11" s="2" t="s">
        <v>28</v>
      </c>
      <c r="F11" s="2" t="s">
        <v>29</v>
      </c>
      <c r="G11" s="4" t="n">
        <v>1</v>
      </c>
      <c r="H11" s="5"/>
      <c r="I11" s="4" t="n">
        <v>2495</v>
      </c>
      <c r="J11" s="6" t="n">
        <v>0</v>
      </c>
      <c r="K11" s="4" t="n">
        <v>0</v>
      </c>
      <c r="L11" s="4" t="n">
        <f aca="false">I11*(1-J11)-K11</f>
        <v>2495</v>
      </c>
      <c r="M11" s="4" t="n">
        <f aca="false">G11*L11</f>
        <v>2495</v>
      </c>
      <c r="N11" s="4" t="n">
        <v>124.75</v>
      </c>
      <c r="O11" s="4" t="n">
        <v>0</v>
      </c>
      <c r="P11" s="4" t="n">
        <v>0</v>
      </c>
      <c r="Q11" s="4" t="n">
        <f aca="false">M11+N11+O11+P11</f>
        <v>2619.75</v>
      </c>
      <c r="R11" s="4" t="n">
        <v>4480</v>
      </c>
      <c r="S11" s="4" t="n">
        <v>2869.25</v>
      </c>
      <c r="T11" s="4" t="n">
        <v>3243.5</v>
      </c>
      <c r="U11" s="4"/>
      <c r="V11" s="4"/>
    </row>
    <row r="12" customFormat="false" ht="19.5" hidden="false" customHeight="true" outlineLevel="0" collapsed="false">
      <c r="A12" s="2" t="n">
        <v>10</v>
      </c>
      <c r="B12" s="3" t="s">
        <v>38</v>
      </c>
      <c r="C12" s="3" t="s">
        <v>26</v>
      </c>
      <c r="D12" s="2" t="s">
        <v>27</v>
      </c>
      <c r="E12" s="2" t="s">
        <v>28</v>
      </c>
      <c r="F12" s="2" t="s">
        <v>29</v>
      </c>
      <c r="G12" s="4" t="n">
        <v>1</v>
      </c>
      <c r="H12" s="5"/>
      <c r="I12" s="4" t="n">
        <v>2495</v>
      </c>
      <c r="J12" s="6" t="n">
        <v>0</v>
      </c>
      <c r="K12" s="4" t="n">
        <v>0</v>
      </c>
      <c r="L12" s="4" t="n">
        <f aca="false">I12*(1-J12)-K12</f>
        <v>2495</v>
      </c>
      <c r="M12" s="4" t="n">
        <f aca="false">G12*L12</f>
        <v>2495</v>
      </c>
      <c r="N12" s="4" t="n">
        <v>124.75</v>
      </c>
      <c r="O12" s="4" t="n">
        <v>0</v>
      </c>
      <c r="P12" s="4" t="n">
        <v>0</v>
      </c>
      <c r="Q12" s="4" t="n">
        <f aca="false">M12+N12+O12+P12</f>
        <v>2619.75</v>
      </c>
      <c r="R12" s="4" t="n">
        <v>4480</v>
      </c>
      <c r="S12" s="4" t="n">
        <v>2869.25</v>
      </c>
      <c r="T12" s="4" t="n">
        <v>3243.5</v>
      </c>
      <c r="U12" s="4"/>
      <c r="V12" s="4"/>
    </row>
    <row r="13" customFormat="false" ht="19.5" hidden="false" customHeight="true" outlineLevel="0" collapsed="false">
      <c r="A13" s="2" t="n">
        <v>11</v>
      </c>
      <c r="B13" s="3" t="s">
        <v>39</v>
      </c>
      <c r="C13" s="3" t="s">
        <v>26</v>
      </c>
      <c r="D13" s="2" t="s">
        <v>27</v>
      </c>
      <c r="E13" s="2" t="s">
        <v>28</v>
      </c>
      <c r="F13" s="2" t="s">
        <v>29</v>
      </c>
      <c r="G13" s="4" t="n">
        <v>1</v>
      </c>
      <c r="H13" s="5"/>
      <c r="I13" s="4" t="n">
        <v>2195</v>
      </c>
      <c r="J13" s="6" t="n">
        <v>0</v>
      </c>
      <c r="K13" s="4" t="n">
        <v>0</v>
      </c>
      <c r="L13" s="4" t="n">
        <f aca="false">I13*(1-J13)-K13</f>
        <v>2195</v>
      </c>
      <c r="M13" s="4" t="n">
        <f aca="false">G13*L13</f>
        <v>2195</v>
      </c>
      <c r="N13" s="4" t="n">
        <v>109.75</v>
      </c>
      <c r="O13" s="4" t="n">
        <v>0</v>
      </c>
      <c r="P13" s="4" t="n">
        <v>0</v>
      </c>
      <c r="Q13" s="4" t="n">
        <f aca="false">M13+N13+O13+P13</f>
        <v>2304.75</v>
      </c>
      <c r="R13" s="4" t="n">
        <v>3980</v>
      </c>
      <c r="S13" s="4" t="n">
        <v>2524.25</v>
      </c>
      <c r="T13" s="4" t="n">
        <v>2853.5</v>
      </c>
      <c r="U13" s="4"/>
      <c r="V13" s="4"/>
    </row>
    <row r="14" customFormat="false" ht="19.5" hidden="false" customHeight="true" outlineLevel="0" collapsed="false">
      <c r="A14" s="2" t="n">
        <v>12</v>
      </c>
      <c r="B14" s="3" t="s">
        <v>40</v>
      </c>
      <c r="C14" s="3" t="s">
        <v>26</v>
      </c>
      <c r="D14" s="2" t="s">
        <v>27</v>
      </c>
      <c r="E14" s="2" t="s">
        <v>28</v>
      </c>
      <c r="F14" s="2" t="s">
        <v>29</v>
      </c>
      <c r="G14" s="4" t="n">
        <v>1</v>
      </c>
      <c r="H14" s="5"/>
      <c r="I14" s="4" t="n">
        <v>2195</v>
      </c>
      <c r="J14" s="6" t="n">
        <v>0</v>
      </c>
      <c r="K14" s="4" t="n">
        <v>0</v>
      </c>
      <c r="L14" s="4" t="n">
        <f aca="false">I14*(1-J14)-K14</f>
        <v>2195</v>
      </c>
      <c r="M14" s="4" t="n">
        <f aca="false">G14*L14</f>
        <v>2195</v>
      </c>
      <c r="N14" s="4" t="n">
        <v>109.75</v>
      </c>
      <c r="O14" s="4" t="n">
        <v>0</v>
      </c>
      <c r="P14" s="4" t="n">
        <v>0</v>
      </c>
      <c r="Q14" s="4" t="n">
        <f aca="false">M14+N14+O14+P14</f>
        <v>2304.75</v>
      </c>
      <c r="R14" s="4" t="n">
        <v>3980</v>
      </c>
      <c r="S14" s="4" t="n">
        <v>2524.25</v>
      </c>
      <c r="T14" s="4" t="n">
        <v>2853.5</v>
      </c>
      <c r="U14" s="4"/>
      <c r="V14" s="4"/>
    </row>
    <row r="15" customFormat="false" ht="19.5" hidden="false" customHeight="true" outlineLevel="0" collapsed="false">
      <c r="A15" s="2" t="n">
        <v>13</v>
      </c>
      <c r="B15" s="3" t="s">
        <v>41</v>
      </c>
      <c r="C15" s="3" t="s">
        <v>26</v>
      </c>
      <c r="D15" s="2" t="s">
        <v>27</v>
      </c>
      <c r="E15" s="2" t="s">
        <v>28</v>
      </c>
      <c r="F15" s="2" t="s">
        <v>29</v>
      </c>
      <c r="G15" s="4" t="n">
        <v>1</v>
      </c>
      <c r="H15" s="5"/>
      <c r="I15" s="4" t="n">
        <v>2195</v>
      </c>
      <c r="J15" s="6" t="n">
        <v>0</v>
      </c>
      <c r="K15" s="4" t="n">
        <v>0</v>
      </c>
      <c r="L15" s="4" t="n">
        <f aca="false">I15*(1-J15)-K15</f>
        <v>2195</v>
      </c>
      <c r="M15" s="4" t="n">
        <f aca="false">G15*L15</f>
        <v>2195</v>
      </c>
      <c r="N15" s="4" t="n">
        <v>109.75</v>
      </c>
      <c r="O15" s="4" t="n">
        <v>0</v>
      </c>
      <c r="P15" s="4" t="n">
        <v>0</v>
      </c>
      <c r="Q15" s="4" t="n">
        <f aca="false">M15+N15+O15+P15</f>
        <v>2304.75</v>
      </c>
      <c r="R15" s="4" t="n">
        <v>3980</v>
      </c>
      <c r="S15" s="4" t="n">
        <v>2524.25</v>
      </c>
      <c r="T15" s="4" t="n">
        <v>2853.5</v>
      </c>
      <c r="U15" s="4"/>
      <c r="V15" s="4"/>
    </row>
    <row r="16" customFormat="false" ht="19.5" hidden="false" customHeight="true" outlineLevel="0" collapsed="false">
      <c r="A16" s="2" t="n">
        <v>14</v>
      </c>
      <c r="B16" s="3" t="s">
        <v>42</v>
      </c>
      <c r="C16" s="3" t="s">
        <v>26</v>
      </c>
      <c r="D16" s="2" t="s">
        <v>27</v>
      </c>
      <c r="E16" s="2" t="s">
        <v>28</v>
      </c>
      <c r="F16" s="2" t="s">
        <v>29</v>
      </c>
      <c r="G16" s="4" t="n">
        <v>1</v>
      </c>
      <c r="H16" s="5"/>
      <c r="I16" s="4" t="n">
        <v>2195</v>
      </c>
      <c r="J16" s="6" t="n">
        <v>0</v>
      </c>
      <c r="K16" s="4" t="n">
        <v>0</v>
      </c>
      <c r="L16" s="4" t="n">
        <f aca="false">I16*(1-J16)-K16</f>
        <v>2195</v>
      </c>
      <c r="M16" s="4" t="n">
        <f aca="false">G16*L16</f>
        <v>2195</v>
      </c>
      <c r="N16" s="4" t="n">
        <v>109.75</v>
      </c>
      <c r="O16" s="4" t="n">
        <v>0</v>
      </c>
      <c r="P16" s="4" t="n">
        <v>0</v>
      </c>
      <c r="Q16" s="4" t="n">
        <f aca="false">M16+N16+O16+P16</f>
        <v>2304.75</v>
      </c>
      <c r="R16" s="4" t="n">
        <v>3980</v>
      </c>
      <c r="S16" s="4" t="n">
        <v>2524.25</v>
      </c>
      <c r="T16" s="4" t="n">
        <v>2853.5</v>
      </c>
      <c r="U16" s="4"/>
      <c r="V16" s="4"/>
    </row>
    <row r="17" customFormat="false" ht="19.5" hidden="false" customHeight="true" outlineLevel="0" collapsed="false">
      <c r="A17" s="2" t="n">
        <v>15</v>
      </c>
      <c r="B17" s="3" t="s">
        <v>43</v>
      </c>
      <c r="C17" s="3" t="s">
        <v>26</v>
      </c>
      <c r="D17" s="2" t="s">
        <v>27</v>
      </c>
      <c r="E17" s="2" t="s">
        <v>28</v>
      </c>
      <c r="F17" s="2" t="s">
        <v>29</v>
      </c>
      <c r="G17" s="4" t="n">
        <v>1</v>
      </c>
      <c r="H17" s="5"/>
      <c r="I17" s="4" t="n">
        <v>2195</v>
      </c>
      <c r="J17" s="6" t="n">
        <v>0</v>
      </c>
      <c r="K17" s="4" t="n">
        <v>0</v>
      </c>
      <c r="L17" s="4" t="n">
        <f aca="false">I17*(1-J17)-K17</f>
        <v>2195</v>
      </c>
      <c r="M17" s="4" t="n">
        <f aca="false">G17*L17</f>
        <v>2195</v>
      </c>
      <c r="N17" s="4" t="n">
        <v>109.75</v>
      </c>
      <c r="O17" s="4" t="n">
        <v>0</v>
      </c>
      <c r="P17" s="4" t="n">
        <v>0</v>
      </c>
      <c r="Q17" s="4" t="n">
        <f aca="false">M17+N17+O17+P17</f>
        <v>2304.75</v>
      </c>
      <c r="R17" s="4" t="n">
        <v>3980</v>
      </c>
      <c r="S17" s="4" t="n">
        <v>2524.25</v>
      </c>
      <c r="T17" s="4" t="n">
        <v>2853.5</v>
      </c>
      <c r="U17" s="4"/>
      <c r="V17" s="4"/>
    </row>
    <row r="18" customFormat="false" ht="19.5" hidden="false" customHeight="true" outlineLevel="0" collapsed="false">
      <c r="A18" s="2" t="n">
        <v>16</v>
      </c>
      <c r="B18" s="3" t="s">
        <v>44</v>
      </c>
      <c r="C18" s="3" t="s">
        <v>26</v>
      </c>
      <c r="D18" s="2" t="s">
        <v>27</v>
      </c>
      <c r="E18" s="2" t="s">
        <v>28</v>
      </c>
      <c r="F18" s="2" t="s">
        <v>29</v>
      </c>
      <c r="G18" s="4" t="n">
        <v>1</v>
      </c>
      <c r="H18" s="5"/>
      <c r="I18" s="4" t="n">
        <v>2095</v>
      </c>
      <c r="J18" s="6" t="n">
        <v>0</v>
      </c>
      <c r="K18" s="4" t="n">
        <v>0</v>
      </c>
      <c r="L18" s="4" t="n">
        <f aca="false">I18*(1-J18)-K18</f>
        <v>2095</v>
      </c>
      <c r="M18" s="4" t="n">
        <f aca="false">G18*L18</f>
        <v>2095</v>
      </c>
      <c r="N18" s="4" t="n">
        <v>104.75</v>
      </c>
      <c r="O18" s="4" t="n">
        <v>0</v>
      </c>
      <c r="P18" s="4" t="n">
        <v>0</v>
      </c>
      <c r="Q18" s="4" t="n">
        <f aca="false">M18+N18+O18+P18</f>
        <v>2199.75</v>
      </c>
      <c r="R18" s="4" t="n">
        <v>3780</v>
      </c>
      <c r="S18" s="4" t="n">
        <v>2409.25</v>
      </c>
      <c r="T18" s="4" t="n">
        <v>2723.5</v>
      </c>
      <c r="U18" s="4"/>
      <c r="V18" s="4"/>
    </row>
    <row r="19" customFormat="false" ht="19.5" hidden="false" customHeight="true" outlineLevel="0" collapsed="false">
      <c r="A19" s="2" t="n">
        <v>17</v>
      </c>
      <c r="B19" s="3" t="s">
        <v>45</v>
      </c>
      <c r="C19" s="3" t="s">
        <v>26</v>
      </c>
      <c r="D19" s="2" t="s">
        <v>27</v>
      </c>
      <c r="E19" s="2" t="s">
        <v>28</v>
      </c>
      <c r="F19" s="2" t="s">
        <v>29</v>
      </c>
      <c r="G19" s="4" t="n">
        <v>1</v>
      </c>
      <c r="H19" s="5"/>
      <c r="I19" s="4" t="n">
        <v>2095</v>
      </c>
      <c r="J19" s="6" t="n">
        <v>0</v>
      </c>
      <c r="K19" s="4" t="n">
        <v>0</v>
      </c>
      <c r="L19" s="4" t="n">
        <f aca="false">I19*(1-J19)-K19</f>
        <v>2095</v>
      </c>
      <c r="M19" s="4" t="n">
        <f aca="false">G19*L19</f>
        <v>2095</v>
      </c>
      <c r="N19" s="4" t="n">
        <v>104.75</v>
      </c>
      <c r="O19" s="4" t="n">
        <v>0</v>
      </c>
      <c r="P19" s="4" t="n">
        <v>0</v>
      </c>
      <c r="Q19" s="4" t="n">
        <f aca="false">M19+N19+O19+P19</f>
        <v>2199.75</v>
      </c>
      <c r="R19" s="4" t="n">
        <v>3780</v>
      </c>
      <c r="S19" s="4" t="n">
        <v>2409.25</v>
      </c>
      <c r="T19" s="4" t="n">
        <v>2723.5</v>
      </c>
      <c r="U19" s="4"/>
      <c r="V19" s="4"/>
    </row>
    <row r="20" customFormat="false" ht="19.5" hidden="false" customHeight="true" outlineLevel="0" collapsed="false">
      <c r="A20" s="2" t="n">
        <v>18</v>
      </c>
      <c r="B20" s="3" t="s">
        <v>46</v>
      </c>
      <c r="C20" s="3" t="s">
        <v>26</v>
      </c>
      <c r="D20" s="2" t="s">
        <v>27</v>
      </c>
      <c r="E20" s="2" t="s">
        <v>28</v>
      </c>
      <c r="F20" s="2" t="s">
        <v>29</v>
      </c>
      <c r="G20" s="4" t="n">
        <v>1</v>
      </c>
      <c r="H20" s="5"/>
      <c r="I20" s="4" t="n">
        <v>2095</v>
      </c>
      <c r="J20" s="6" t="n">
        <v>0</v>
      </c>
      <c r="K20" s="4" t="n">
        <v>0</v>
      </c>
      <c r="L20" s="4" t="n">
        <f aca="false">I20*(1-J20)-K20</f>
        <v>2095</v>
      </c>
      <c r="M20" s="4" t="n">
        <f aca="false">G20*L20</f>
        <v>2095</v>
      </c>
      <c r="N20" s="4" t="n">
        <v>104.75</v>
      </c>
      <c r="O20" s="4" t="n">
        <v>0</v>
      </c>
      <c r="P20" s="4" t="n">
        <v>0</v>
      </c>
      <c r="Q20" s="4" t="n">
        <f aca="false">M20+N20+O20+P20</f>
        <v>2199.75</v>
      </c>
      <c r="R20" s="4" t="n">
        <v>3780</v>
      </c>
      <c r="S20" s="4" t="n">
        <v>2409.25</v>
      </c>
      <c r="T20" s="4" t="n">
        <v>2723.5</v>
      </c>
      <c r="U20" s="4"/>
      <c r="V20" s="4"/>
    </row>
    <row r="21" customFormat="false" ht="19.5" hidden="false" customHeight="true" outlineLevel="0" collapsed="false">
      <c r="A21" s="2" t="n">
        <v>19</v>
      </c>
      <c r="B21" s="3" t="s">
        <v>47</v>
      </c>
      <c r="C21" s="3" t="s">
        <v>26</v>
      </c>
      <c r="D21" s="2" t="s">
        <v>27</v>
      </c>
      <c r="E21" s="2" t="s">
        <v>28</v>
      </c>
      <c r="F21" s="2" t="s">
        <v>29</v>
      </c>
      <c r="G21" s="4" t="n">
        <v>1</v>
      </c>
      <c r="H21" s="5"/>
      <c r="I21" s="4" t="n">
        <v>2095</v>
      </c>
      <c r="J21" s="6" t="n">
        <v>0</v>
      </c>
      <c r="K21" s="4" t="n">
        <v>0</v>
      </c>
      <c r="L21" s="4" t="n">
        <f aca="false">I21*(1-J21)-K21</f>
        <v>2095</v>
      </c>
      <c r="M21" s="4" t="n">
        <f aca="false">G21*L21</f>
        <v>2095</v>
      </c>
      <c r="N21" s="4" t="n">
        <v>104.75</v>
      </c>
      <c r="O21" s="4" t="n">
        <v>0</v>
      </c>
      <c r="P21" s="4" t="n">
        <v>0</v>
      </c>
      <c r="Q21" s="4" t="n">
        <f aca="false">M21+N21+O21+P21</f>
        <v>2199.75</v>
      </c>
      <c r="R21" s="4" t="n">
        <v>3780</v>
      </c>
      <c r="S21" s="4" t="n">
        <v>2409.25</v>
      </c>
      <c r="T21" s="4" t="n">
        <v>2723.5</v>
      </c>
      <c r="U21" s="4"/>
      <c r="V21" s="4"/>
    </row>
    <row r="22" customFormat="false" ht="19.5" hidden="false" customHeight="true" outlineLevel="0" collapsed="false">
      <c r="A22" s="2" t="n">
        <v>20</v>
      </c>
      <c r="B22" s="3" t="s">
        <v>48</v>
      </c>
      <c r="C22" s="3" t="s">
        <v>26</v>
      </c>
      <c r="D22" s="2" t="s">
        <v>27</v>
      </c>
      <c r="E22" s="2" t="s">
        <v>28</v>
      </c>
      <c r="F22" s="2" t="s">
        <v>29</v>
      </c>
      <c r="G22" s="4" t="n">
        <v>1</v>
      </c>
      <c r="H22" s="5"/>
      <c r="I22" s="4" t="n">
        <v>2695</v>
      </c>
      <c r="J22" s="6" t="n">
        <v>0</v>
      </c>
      <c r="K22" s="4" t="n">
        <v>0</v>
      </c>
      <c r="L22" s="4" t="n">
        <f aca="false">I22*(1-J22)-K22</f>
        <v>2695</v>
      </c>
      <c r="M22" s="4" t="n">
        <f aca="false">G22*L22</f>
        <v>2695</v>
      </c>
      <c r="N22" s="4" t="n">
        <v>134.75</v>
      </c>
      <c r="O22" s="4" t="n">
        <v>0</v>
      </c>
      <c r="P22" s="4" t="n">
        <v>0</v>
      </c>
      <c r="Q22" s="4" t="n">
        <f aca="false">M22+N22+O22+P22</f>
        <v>2829.75</v>
      </c>
      <c r="R22" s="4" t="n">
        <v>4880</v>
      </c>
      <c r="S22" s="4" t="n">
        <v>3099.25</v>
      </c>
      <c r="T22" s="4" t="n">
        <v>3503.5</v>
      </c>
      <c r="U22" s="4"/>
      <c r="V22" s="4"/>
    </row>
    <row r="23" customFormat="false" ht="19.5" hidden="false" customHeight="true" outlineLevel="0" collapsed="false">
      <c r="A23" s="2" t="n">
        <v>21</v>
      </c>
      <c r="B23" s="3" t="s">
        <v>49</v>
      </c>
      <c r="C23" s="3" t="s">
        <v>26</v>
      </c>
      <c r="D23" s="2" t="s">
        <v>27</v>
      </c>
      <c r="E23" s="2" t="s">
        <v>28</v>
      </c>
      <c r="F23" s="2" t="s">
        <v>29</v>
      </c>
      <c r="G23" s="4" t="n">
        <v>1</v>
      </c>
      <c r="H23" s="5"/>
      <c r="I23" s="4" t="n">
        <v>2695</v>
      </c>
      <c r="J23" s="6" t="n">
        <v>0</v>
      </c>
      <c r="K23" s="4" t="n">
        <v>0</v>
      </c>
      <c r="L23" s="4" t="n">
        <f aca="false">I23*(1-J23)-K23</f>
        <v>2695</v>
      </c>
      <c r="M23" s="4" t="n">
        <f aca="false">G23*L23</f>
        <v>2695</v>
      </c>
      <c r="N23" s="4" t="n">
        <v>134.75</v>
      </c>
      <c r="O23" s="4" t="n">
        <v>0</v>
      </c>
      <c r="P23" s="4" t="n">
        <v>0</v>
      </c>
      <c r="Q23" s="4" t="n">
        <f aca="false">M23+N23+O23+P23</f>
        <v>2829.75</v>
      </c>
      <c r="R23" s="4" t="n">
        <v>4880</v>
      </c>
      <c r="S23" s="4" t="n">
        <v>3099.25</v>
      </c>
      <c r="T23" s="4" t="n">
        <v>3503.5</v>
      </c>
      <c r="U23" s="4"/>
      <c r="V23" s="4"/>
    </row>
    <row r="24" customFormat="false" ht="19.5" hidden="false" customHeight="true" outlineLevel="0" collapsed="false">
      <c r="A24" s="2" t="n">
        <v>22</v>
      </c>
      <c r="B24" s="3" t="s">
        <v>50</v>
      </c>
      <c r="C24" s="3" t="s">
        <v>26</v>
      </c>
      <c r="D24" s="2" t="s">
        <v>27</v>
      </c>
      <c r="E24" s="2" t="s">
        <v>28</v>
      </c>
      <c r="F24" s="2" t="s">
        <v>29</v>
      </c>
      <c r="G24" s="4" t="n">
        <v>1</v>
      </c>
      <c r="H24" s="5"/>
      <c r="I24" s="4" t="n">
        <v>2695</v>
      </c>
      <c r="J24" s="6" t="n">
        <v>0</v>
      </c>
      <c r="K24" s="4" t="n">
        <v>0</v>
      </c>
      <c r="L24" s="4" t="n">
        <f aca="false">I24*(1-J24)-K24</f>
        <v>2695</v>
      </c>
      <c r="M24" s="4" t="n">
        <f aca="false">G24*L24</f>
        <v>2695</v>
      </c>
      <c r="N24" s="4" t="n">
        <v>134.75</v>
      </c>
      <c r="O24" s="4" t="n">
        <v>0</v>
      </c>
      <c r="P24" s="4" t="n">
        <v>0</v>
      </c>
      <c r="Q24" s="4" t="n">
        <f aca="false">M24+N24+O24+P24</f>
        <v>2829.75</v>
      </c>
      <c r="R24" s="4" t="n">
        <v>4880</v>
      </c>
      <c r="S24" s="4" t="n">
        <v>3099.25</v>
      </c>
      <c r="T24" s="4" t="n">
        <v>3503.5</v>
      </c>
      <c r="U24" s="4"/>
      <c r="V24" s="4"/>
    </row>
    <row r="25" customFormat="false" ht="19.5" hidden="false" customHeight="true" outlineLevel="0" collapsed="false">
      <c r="A25" s="2" t="n">
        <v>23</v>
      </c>
      <c r="B25" s="3" t="s">
        <v>51</v>
      </c>
      <c r="C25" s="3" t="s">
        <v>26</v>
      </c>
      <c r="D25" s="2" t="s">
        <v>27</v>
      </c>
      <c r="E25" s="2" t="s">
        <v>28</v>
      </c>
      <c r="F25" s="2" t="s">
        <v>29</v>
      </c>
      <c r="G25" s="4" t="n">
        <v>1</v>
      </c>
      <c r="H25" s="5"/>
      <c r="I25" s="4" t="n">
        <v>2695</v>
      </c>
      <c r="J25" s="6" t="n">
        <v>0</v>
      </c>
      <c r="K25" s="4" t="n">
        <v>0</v>
      </c>
      <c r="L25" s="4" t="n">
        <f aca="false">I25*(1-J25)-K25</f>
        <v>2695</v>
      </c>
      <c r="M25" s="4" t="n">
        <f aca="false">G25*L25</f>
        <v>2695</v>
      </c>
      <c r="N25" s="4" t="n">
        <v>134.75</v>
      </c>
      <c r="O25" s="4" t="n">
        <v>0</v>
      </c>
      <c r="P25" s="4" t="n">
        <v>0</v>
      </c>
      <c r="Q25" s="4" t="n">
        <f aca="false">M25+N25+O25+P25</f>
        <v>2829.75</v>
      </c>
      <c r="R25" s="4" t="n">
        <v>4880</v>
      </c>
      <c r="S25" s="4" t="n">
        <v>3099.25</v>
      </c>
      <c r="T25" s="4" t="n">
        <v>3503.5</v>
      </c>
      <c r="U25" s="4"/>
      <c r="V25" s="4"/>
    </row>
    <row r="26" customFormat="false" ht="19.5" hidden="false" customHeight="true" outlineLevel="0" collapsed="false">
      <c r="A26" s="2" t="n">
        <v>24</v>
      </c>
      <c r="B26" s="3" t="s">
        <v>52</v>
      </c>
      <c r="C26" s="3" t="s">
        <v>26</v>
      </c>
      <c r="D26" s="2" t="s">
        <v>27</v>
      </c>
      <c r="E26" s="2" t="s">
        <v>28</v>
      </c>
      <c r="F26" s="2" t="s">
        <v>29</v>
      </c>
      <c r="G26" s="4" t="n">
        <v>1</v>
      </c>
      <c r="H26" s="5"/>
      <c r="I26" s="4" t="n">
        <v>2495</v>
      </c>
      <c r="J26" s="6" t="n">
        <v>0</v>
      </c>
      <c r="K26" s="4" t="n">
        <v>0</v>
      </c>
      <c r="L26" s="4" t="n">
        <f aca="false">I26*(1-J26)-K26</f>
        <v>2495</v>
      </c>
      <c r="M26" s="4" t="n">
        <f aca="false">G26*L26</f>
        <v>2495</v>
      </c>
      <c r="N26" s="4" t="n">
        <v>124.75</v>
      </c>
      <c r="O26" s="4" t="n">
        <v>0</v>
      </c>
      <c r="P26" s="4" t="n">
        <v>0</v>
      </c>
      <c r="Q26" s="4" t="n">
        <f aca="false">M26+N26+O26+P26</f>
        <v>2619.75</v>
      </c>
      <c r="R26" s="4" t="n">
        <v>4480</v>
      </c>
      <c r="S26" s="4" t="n">
        <v>2869.25</v>
      </c>
      <c r="T26" s="4" t="n">
        <v>3243.5</v>
      </c>
      <c r="U26" s="4"/>
      <c r="V26" s="4"/>
    </row>
    <row r="27" customFormat="false" ht="19.5" hidden="false" customHeight="true" outlineLevel="0" collapsed="false">
      <c r="A27" s="2" t="n">
        <v>25</v>
      </c>
      <c r="B27" s="3" t="s">
        <v>53</v>
      </c>
      <c r="C27" s="3" t="s">
        <v>26</v>
      </c>
      <c r="D27" s="2" t="s">
        <v>27</v>
      </c>
      <c r="E27" s="2" t="s">
        <v>28</v>
      </c>
      <c r="F27" s="2" t="s">
        <v>29</v>
      </c>
      <c r="G27" s="4" t="n">
        <v>1</v>
      </c>
      <c r="H27" s="5"/>
      <c r="I27" s="4" t="n">
        <v>2495</v>
      </c>
      <c r="J27" s="6" t="n">
        <v>0</v>
      </c>
      <c r="K27" s="4" t="n">
        <v>0</v>
      </c>
      <c r="L27" s="4" t="n">
        <f aca="false">I27*(1-J27)-K27</f>
        <v>2495</v>
      </c>
      <c r="M27" s="4" t="n">
        <f aca="false">G27*L27</f>
        <v>2495</v>
      </c>
      <c r="N27" s="4" t="n">
        <v>124.75</v>
      </c>
      <c r="O27" s="4" t="n">
        <v>0</v>
      </c>
      <c r="P27" s="4" t="n">
        <v>0</v>
      </c>
      <c r="Q27" s="4" t="n">
        <f aca="false">M27+N27+O27+P27</f>
        <v>2619.75</v>
      </c>
      <c r="R27" s="4" t="n">
        <v>4480</v>
      </c>
      <c r="S27" s="4" t="n">
        <v>2869.25</v>
      </c>
      <c r="T27" s="4" t="n">
        <v>3243.5</v>
      </c>
      <c r="U27" s="4"/>
      <c r="V27" s="4"/>
    </row>
    <row r="28" customFormat="false" ht="19.5" hidden="false" customHeight="true" outlineLevel="0" collapsed="false">
      <c r="A28" s="2" t="n">
        <v>26</v>
      </c>
      <c r="B28" s="3" t="s">
        <v>54</v>
      </c>
      <c r="C28" s="3" t="s">
        <v>26</v>
      </c>
      <c r="D28" s="2" t="s">
        <v>27</v>
      </c>
      <c r="E28" s="2" t="s">
        <v>28</v>
      </c>
      <c r="F28" s="2" t="s">
        <v>29</v>
      </c>
      <c r="G28" s="4" t="n">
        <v>1</v>
      </c>
      <c r="H28" s="5"/>
      <c r="I28" s="4" t="n">
        <v>2495</v>
      </c>
      <c r="J28" s="6" t="n">
        <v>0</v>
      </c>
      <c r="K28" s="4" t="n">
        <v>0</v>
      </c>
      <c r="L28" s="4" t="n">
        <f aca="false">I28*(1-J28)-K28</f>
        <v>2495</v>
      </c>
      <c r="M28" s="4" t="n">
        <f aca="false">G28*L28</f>
        <v>2495</v>
      </c>
      <c r="N28" s="4" t="n">
        <v>124.75</v>
      </c>
      <c r="O28" s="4" t="n">
        <v>0</v>
      </c>
      <c r="P28" s="4" t="n">
        <v>0</v>
      </c>
      <c r="Q28" s="4" t="n">
        <f aca="false">M28+N28+O28+P28</f>
        <v>2619.75</v>
      </c>
      <c r="R28" s="4" t="n">
        <v>4480</v>
      </c>
      <c r="S28" s="4" t="n">
        <v>2869.25</v>
      </c>
      <c r="T28" s="4" t="n">
        <v>3243.5</v>
      </c>
      <c r="U28" s="4"/>
      <c r="V28" s="4"/>
    </row>
    <row r="29" customFormat="false" ht="19.5" hidden="false" customHeight="true" outlineLevel="0" collapsed="false">
      <c r="A29" s="2" t="n">
        <v>27</v>
      </c>
      <c r="B29" s="3" t="s">
        <v>55</v>
      </c>
      <c r="C29" s="3" t="s">
        <v>26</v>
      </c>
      <c r="D29" s="2" t="s">
        <v>27</v>
      </c>
      <c r="E29" s="2" t="s">
        <v>28</v>
      </c>
      <c r="F29" s="2" t="s">
        <v>29</v>
      </c>
      <c r="G29" s="4" t="n">
        <v>1</v>
      </c>
      <c r="H29" s="5"/>
      <c r="I29" s="4" t="n">
        <v>2495</v>
      </c>
      <c r="J29" s="6" t="n">
        <v>0</v>
      </c>
      <c r="K29" s="4" t="n">
        <v>0</v>
      </c>
      <c r="L29" s="4" t="n">
        <f aca="false">I29*(1-J29)-K29</f>
        <v>2495</v>
      </c>
      <c r="M29" s="4" t="n">
        <f aca="false">G29*L29</f>
        <v>2495</v>
      </c>
      <c r="N29" s="4" t="n">
        <v>124.75</v>
      </c>
      <c r="O29" s="4" t="n">
        <v>0</v>
      </c>
      <c r="P29" s="4" t="n">
        <v>0</v>
      </c>
      <c r="Q29" s="4" t="n">
        <f aca="false">M29+N29+O29+P29</f>
        <v>2619.75</v>
      </c>
      <c r="R29" s="4" t="n">
        <v>4480</v>
      </c>
      <c r="S29" s="4" t="n">
        <v>2869.25</v>
      </c>
      <c r="T29" s="4" t="n">
        <v>3243.5</v>
      </c>
      <c r="U29" s="4"/>
      <c r="V29" s="4"/>
    </row>
    <row r="30" customFormat="false" ht="19.5" hidden="false" customHeight="true" outlineLevel="0" collapsed="false">
      <c r="A30" s="2" t="n">
        <v>28</v>
      </c>
      <c r="B30" s="3" t="s">
        <v>56</v>
      </c>
      <c r="C30" s="3" t="s">
        <v>26</v>
      </c>
      <c r="D30" s="2" t="s">
        <v>27</v>
      </c>
      <c r="E30" s="2" t="s">
        <v>28</v>
      </c>
      <c r="F30" s="2" t="s">
        <v>29</v>
      </c>
      <c r="G30" s="4" t="n">
        <v>1</v>
      </c>
      <c r="H30" s="5"/>
      <c r="I30" s="4" t="n">
        <v>2495</v>
      </c>
      <c r="J30" s="6" t="n">
        <v>0</v>
      </c>
      <c r="K30" s="4" t="n">
        <v>0</v>
      </c>
      <c r="L30" s="4" t="n">
        <f aca="false">I30*(1-J30)-K30</f>
        <v>2495</v>
      </c>
      <c r="M30" s="4" t="n">
        <f aca="false">G30*L30</f>
        <v>2495</v>
      </c>
      <c r="N30" s="4" t="n">
        <v>124.75</v>
      </c>
      <c r="O30" s="4" t="n">
        <v>0</v>
      </c>
      <c r="P30" s="4" t="n">
        <v>0</v>
      </c>
      <c r="Q30" s="4" t="n">
        <f aca="false">M30+N30+O30+P30</f>
        <v>2619.75</v>
      </c>
      <c r="R30" s="4" t="n">
        <v>4480</v>
      </c>
      <c r="S30" s="4" t="n">
        <v>2869.25</v>
      </c>
      <c r="T30" s="4" t="n">
        <v>3243.5</v>
      </c>
      <c r="U30" s="4"/>
      <c r="V30" s="4"/>
    </row>
    <row r="31" customFormat="false" ht="19.5" hidden="false" customHeight="true" outlineLevel="0" collapsed="false">
      <c r="A31" s="2" t="n">
        <v>29</v>
      </c>
      <c r="B31" s="3" t="s">
        <v>57</v>
      </c>
      <c r="C31" s="3" t="s">
        <v>26</v>
      </c>
      <c r="D31" s="2" t="s">
        <v>27</v>
      </c>
      <c r="E31" s="2" t="s">
        <v>28</v>
      </c>
      <c r="F31" s="2" t="s">
        <v>29</v>
      </c>
      <c r="G31" s="4" t="n">
        <v>1</v>
      </c>
      <c r="H31" s="5"/>
      <c r="I31" s="4" t="n">
        <v>2495</v>
      </c>
      <c r="J31" s="6" t="n">
        <v>0</v>
      </c>
      <c r="K31" s="4" t="n">
        <v>0</v>
      </c>
      <c r="L31" s="4" t="n">
        <f aca="false">I31*(1-J31)-K31</f>
        <v>2495</v>
      </c>
      <c r="M31" s="4" t="n">
        <f aca="false">G31*L31</f>
        <v>2495</v>
      </c>
      <c r="N31" s="4" t="n">
        <v>124.75</v>
      </c>
      <c r="O31" s="4" t="n">
        <v>0</v>
      </c>
      <c r="P31" s="4" t="n">
        <v>0</v>
      </c>
      <c r="Q31" s="4" t="n">
        <f aca="false">M31+N31+O31+P31</f>
        <v>2619.75</v>
      </c>
      <c r="R31" s="4" t="n">
        <v>4480</v>
      </c>
      <c r="S31" s="4" t="n">
        <v>2869.25</v>
      </c>
      <c r="T31" s="4" t="n">
        <v>3243.5</v>
      </c>
      <c r="U31" s="4"/>
      <c r="V31" s="4"/>
    </row>
    <row r="32" customFormat="false" ht="19.5" hidden="false" customHeight="true" outlineLevel="0" collapsed="false">
      <c r="A32" s="2" t="n">
        <v>30</v>
      </c>
      <c r="B32" s="3" t="s">
        <v>58</v>
      </c>
      <c r="C32" s="3" t="s">
        <v>26</v>
      </c>
      <c r="D32" s="2" t="s">
        <v>27</v>
      </c>
      <c r="E32" s="2" t="s">
        <v>28</v>
      </c>
      <c r="F32" s="2" t="s">
        <v>29</v>
      </c>
      <c r="G32" s="4" t="n">
        <v>1</v>
      </c>
      <c r="H32" s="5"/>
      <c r="I32" s="4" t="n">
        <v>2495</v>
      </c>
      <c r="J32" s="6" t="n">
        <v>0</v>
      </c>
      <c r="K32" s="4" t="n">
        <v>0</v>
      </c>
      <c r="L32" s="4" t="n">
        <f aca="false">I32*(1-J32)-K32</f>
        <v>2495</v>
      </c>
      <c r="M32" s="4" t="n">
        <f aca="false">G32*L32</f>
        <v>2495</v>
      </c>
      <c r="N32" s="4" t="n">
        <v>124.75</v>
      </c>
      <c r="O32" s="4" t="n">
        <v>0</v>
      </c>
      <c r="P32" s="4" t="n">
        <v>0</v>
      </c>
      <c r="Q32" s="4" t="n">
        <f aca="false">M32+N32+O32+P32</f>
        <v>2619.75</v>
      </c>
      <c r="R32" s="4" t="n">
        <v>4480</v>
      </c>
      <c r="S32" s="4" t="n">
        <v>2869.25</v>
      </c>
      <c r="T32" s="4" t="n">
        <v>3243.5</v>
      </c>
      <c r="U32" s="4"/>
      <c r="V32" s="4"/>
    </row>
    <row r="33" customFormat="false" ht="19.5" hidden="false" customHeight="true" outlineLevel="0" collapsed="false">
      <c r="A33" s="2" t="n">
        <v>31</v>
      </c>
      <c r="B33" s="3" t="s">
        <v>59</v>
      </c>
      <c r="C33" s="3" t="s">
        <v>26</v>
      </c>
      <c r="D33" s="2" t="s">
        <v>27</v>
      </c>
      <c r="E33" s="2" t="s">
        <v>28</v>
      </c>
      <c r="F33" s="2" t="s">
        <v>29</v>
      </c>
      <c r="G33" s="4" t="n">
        <v>1</v>
      </c>
      <c r="H33" s="5"/>
      <c r="I33" s="4" t="n">
        <v>2495</v>
      </c>
      <c r="J33" s="6" t="n">
        <v>0</v>
      </c>
      <c r="K33" s="4" t="n">
        <v>0</v>
      </c>
      <c r="L33" s="4" t="n">
        <f aca="false">I33*(1-J33)-K33</f>
        <v>2495</v>
      </c>
      <c r="M33" s="4" t="n">
        <f aca="false">G33*L33</f>
        <v>2495</v>
      </c>
      <c r="N33" s="4" t="n">
        <v>124.75</v>
      </c>
      <c r="O33" s="4" t="n">
        <v>0</v>
      </c>
      <c r="P33" s="4" t="n">
        <v>0</v>
      </c>
      <c r="Q33" s="4" t="n">
        <f aca="false">M33+N33+O33+P33</f>
        <v>2619.75</v>
      </c>
      <c r="R33" s="4" t="n">
        <v>4480</v>
      </c>
      <c r="S33" s="4" t="n">
        <v>2869.25</v>
      </c>
      <c r="T33" s="4" t="n">
        <v>3243.5</v>
      </c>
      <c r="U33" s="4"/>
      <c r="V33" s="4"/>
    </row>
    <row r="34" customFormat="false" ht="19.5" hidden="false" customHeight="true" outlineLevel="0" collapsed="false">
      <c r="A34" s="2" t="n">
        <v>32</v>
      </c>
      <c r="B34" s="3" t="s">
        <v>60</v>
      </c>
      <c r="C34" s="3" t="s">
        <v>26</v>
      </c>
      <c r="D34" s="2" t="s">
        <v>27</v>
      </c>
      <c r="E34" s="2" t="s">
        <v>28</v>
      </c>
      <c r="F34" s="2" t="s">
        <v>29</v>
      </c>
      <c r="G34" s="4" t="n">
        <v>1</v>
      </c>
      <c r="H34" s="5"/>
      <c r="I34" s="4" t="n">
        <v>2495</v>
      </c>
      <c r="J34" s="6" t="n">
        <v>0</v>
      </c>
      <c r="K34" s="4" t="n">
        <v>0</v>
      </c>
      <c r="L34" s="4" t="n">
        <f aca="false">I34*(1-J34)-K34</f>
        <v>2495</v>
      </c>
      <c r="M34" s="4" t="n">
        <f aca="false">G34*L34</f>
        <v>2495</v>
      </c>
      <c r="N34" s="4" t="n">
        <v>124.75</v>
      </c>
      <c r="O34" s="4" t="n">
        <v>0</v>
      </c>
      <c r="P34" s="4" t="n">
        <v>0</v>
      </c>
      <c r="Q34" s="4" t="n">
        <f aca="false">M34+N34+O34+P34</f>
        <v>2619.75</v>
      </c>
      <c r="R34" s="4" t="n">
        <v>4480</v>
      </c>
      <c r="S34" s="4" t="n">
        <v>2869.25</v>
      </c>
      <c r="T34" s="4" t="n">
        <v>3243.5</v>
      </c>
      <c r="U34" s="4"/>
      <c r="V34" s="4"/>
    </row>
    <row r="35" customFormat="false" ht="19.5" hidden="false" customHeight="true" outlineLevel="0" collapsed="false">
      <c r="A35" s="2" t="n">
        <v>33</v>
      </c>
      <c r="B35" s="3" t="s">
        <v>61</v>
      </c>
      <c r="C35" s="3" t="s">
        <v>26</v>
      </c>
      <c r="D35" s="2" t="s">
        <v>27</v>
      </c>
      <c r="E35" s="2" t="s">
        <v>28</v>
      </c>
      <c r="F35" s="2" t="s">
        <v>29</v>
      </c>
      <c r="G35" s="4" t="n">
        <v>1</v>
      </c>
      <c r="H35" s="5"/>
      <c r="I35" s="4" t="n">
        <v>2495</v>
      </c>
      <c r="J35" s="6" t="n">
        <v>0</v>
      </c>
      <c r="K35" s="4" t="n">
        <v>0</v>
      </c>
      <c r="L35" s="4" t="n">
        <f aca="false">I35*(1-J35)-K35</f>
        <v>2495</v>
      </c>
      <c r="M35" s="4" t="n">
        <f aca="false">G35*L35</f>
        <v>2495</v>
      </c>
      <c r="N35" s="4" t="n">
        <v>124.75</v>
      </c>
      <c r="O35" s="4" t="n">
        <v>0</v>
      </c>
      <c r="P35" s="4" t="n">
        <v>0</v>
      </c>
      <c r="Q35" s="4" t="n">
        <f aca="false">M35+N35+O35+P35</f>
        <v>2619.75</v>
      </c>
      <c r="R35" s="4" t="n">
        <v>4480.02</v>
      </c>
      <c r="S35" s="4" t="n">
        <v>2869.25</v>
      </c>
      <c r="T35" s="4" t="n">
        <v>3243.5</v>
      </c>
      <c r="U35" s="4"/>
      <c r="V35" s="4"/>
    </row>
    <row r="36" customFormat="false" ht="19.5" hidden="false" customHeight="true" outlineLevel="0" collapsed="false">
      <c r="A36" s="2" t="n">
        <v>34</v>
      </c>
      <c r="B36" s="3" t="s">
        <v>62</v>
      </c>
      <c r="C36" s="3" t="s">
        <v>26</v>
      </c>
      <c r="D36" s="2" t="s">
        <v>27</v>
      </c>
      <c r="E36" s="2" t="s">
        <v>28</v>
      </c>
      <c r="F36" s="2" t="s">
        <v>29</v>
      </c>
      <c r="G36" s="4" t="n">
        <v>1</v>
      </c>
      <c r="H36" s="5"/>
      <c r="I36" s="4" t="n">
        <v>2495</v>
      </c>
      <c r="J36" s="6" t="n">
        <v>0</v>
      </c>
      <c r="K36" s="4" t="n">
        <v>0</v>
      </c>
      <c r="L36" s="4" t="n">
        <f aca="false">I36*(1-J36)-K36</f>
        <v>2495</v>
      </c>
      <c r="M36" s="4" t="n">
        <f aca="false">G36*L36</f>
        <v>2495</v>
      </c>
      <c r="N36" s="4" t="n">
        <v>124.75</v>
      </c>
      <c r="O36" s="4" t="n">
        <v>0</v>
      </c>
      <c r="P36" s="4" t="n">
        <v>0</v>
      </c>
      <c r="Q36" s="4" t="n">
        <f aca="false">M36+N36+O36+P36</f>
        <v>2619.75</v>
      </c>
      <c r="R36" s="4" t="n">
        <v>4480.02</v>
      </c>
      <c r="S36" s="4" t="n">
        <v>2869.25</v>
      </c>
      <c r="T36" s="4" t="n">
        <v>3243.5</v>
      </c>
      <c r="U36" s="4"/>
      <c r="V36" s="4"/>
    </row>
    <row r="37" customFormat="false" ht="19.5" hidden="false" customHeight="true" outlineLevel="0" collapsed="false">
      <c r="A37" s="2" t="n">
        <v>35</v>
      </c>
      <c r="B37" s="3" t="s">
        <v>63</v>
      </c>
      <c r="C37" s="3" t="s">
        <v>26</v>
      </c>
      <c r="D37" s="2" t="s">
        <v>27</v>
      </c>
      <c r="E37" s="2" t="s">
        <v>28</v>
      </c>
      <c r="F37" s="2" t="s">
        <v>29</v>
      </c>
      <c r="G37" s="4" t="n">
        <v>1</v>
      </c>
      <c r="H37" s="5"/>
      <c r="I37" s="4" t="n">
        <v>2495</v>
      </c>
      <c r="J37" s="6" t="n">
        <v>0</v>
      </c>
      <c r="K37" s="4" t="n">
        <v>0</v>
      </c>
      <c r="L37" s="4" t="n">
        <f aca="false">I37*(1-J37)-K37</f>
        <v>2495</v>
      </c>
      <c r="M37" s="4" t="n">
        <f aca="false">G37*L37</f>
        <v>2495</v>
      </c>
      <c r="N37" s="4" t="n">
        <v>124.75</v>
      </c>
      <c r="O37" s="4" t="n">
        <v>0</v>
      </c>
      <c r="P37" s="4" t="n">
        <v>0</v>
      </c>
      <c r="Q37" s="4" t="n">
        <f aca="false">M37+N37+O37+P37</f>
        <v>2619.75</v>
      </c>
      <c r="R37" s="4" t="n">
        <v>4480.02</v>
      </c>
      <c r="S37" s="4" t="n">
        <v>2869.25</v>
      </c>
      <c r="T37" s="4" t="n">
        <v>3243.5</v>
      </c>
      <c r="U37" s="4"/>
      <c r="V37" s="4"/>
    </row>
    <row r="38" customFormat="false" ht="19.5" hidden="false" customHeight="true" outlineLevel="0" collapsed="false">
      <c r="A38" s="2" t="n">
        <v>36</v>
      </c>
      <c r="B38" s="3" t="s">
        <v>64</v>
      </c>
      <c r="C38" s="3" t="s">
        <v>26</v>
      </c>
      <c r="D38" s="2" t="s">
        <v>27</v>
      </c>
      <c r="E38" s="2" t="s">
        <v>28</v>
      </c>
      <c r="F38" s="2" t="s">
        <v>29</v>
      </c>
      <c r="G38" s="4" t="n">
        <v>1</v>
      </c>
      <c r="H38" s="5"/>
      <c r="I38" s="4" t="n">
        <v>2495</v>
      </c>
      <c r="J38" s="6" t="n">
        <v>0</v>
      </c>
      <c r="K38" s="4" t="n">
        <v>0</v>
      </c>
      <c r="L38" s="4" t="n">
        <f aca="false">I38*(1-J38)-K38</f>
        <v>2495</v>
      </c>
      <c r="M38" s="4" t="n">
        <f aca="false">G38*L38</f>
        <v>2495</v>
      </c>
      <c r="N38" s="4" t="n">
        <v>124.75</v>
      </c>
      <c r="O38" s="4" t="n">
        <v>0</v>
      </c>
      <c r="P38" s="4" t="n">
        <v>0</v>
      </c>
      <c r="Q38" s="4" t="n">
        <f aca="false">M38+N38+O38+P38</f>
        <v>2619.75</v>
      </c>
      <c r="R38" s="4" t="n">
        <v>4480.02</v>
      </c>
      <c r="S38" s="4" t="n">
        <v>2869.25</v>
      </c>
      <c r="T38" s="4" t="n">
        <v>3243.5</v>
      </c>
      <c r="U38" s="4"/>
      <c r="V38" s="4"/>
    </row>
    <row r="39" customFormat="false" ht="19.5" hidden="false" customHeight="true" outlineLevel="0" collapsed="false">
      <c r="A39" s="2" t="n">
        <v>37</v>
      </c>
      <c r="B39" s="3" t="s">
        <v>65</v>
      </c>
      <c r="C39" s="3" t="s">
        <v>26</v>
      </c>
      <c r="D39" s="2" t="s">
        <v>27</v>
      </c>
      <c r="E39" s="2" t="s">
        <v>28</v>
      </c>
      <c r="F39" s="2" t="s">
        <v>29</v>
      </c>
      <c r="G39" s="4" t="n">
        <v>1</v>
      </c>
      <c r="H39" s="5"/>
      <c r="I39" s="4" t="n">
        <v>2495</v>
      </c>
      <c r="J39" s="6" t="n">
        <v>0</v>
      </c>
      <c r="K39" s="4" t="n">
        <v>0</v>
      </c>
      <c r="L39" s="4" t="n">
        <f aca="false">I39*(1-J39)-K39</f>
        <v>2495</v>
      </c>
      <c r="M39" s="4" t="n">
        <f aca="false">G39*L39</f>
        <v>2495</v>
      </c>
      <c r="N39" s="4" t="n">
        <v>124.75</v>
      </c>
      <c r="O39" s="4" t="n">
        <v>0</v>
      </c>
      <c r="P39" s="4" t="n">
        <v>0</v>
      </c>
      <c r="Q39" s="4" t="n">
        <f aca="false">M39+N39+O39+P39</f>
        <v>2619.75</v>
      </c>
      <c r="R39" s="4" t="n">
        <v>4480.02</v>
      </c>
      <c r="S39" s="4" t="n">
        <v>2869.25</v>
      </c>
      <c r="T39" s="4" t="n">
        <v>3243.5</v>
      </c>
      <c r="U39" s="4"/>
      <c r="V39" s="4"/>
    </row>
    <row r="40" customFormat="false" ht="19.5" hidden="false" customHeight="true" outlineLevel="0" collapsed="false">
      <c r="A40" s="2" t="n">
        <v>38</v>
      </c>
      <c r="B40" s="3" t="s">
        <v>66</v>
      </c>
      <c r="C40" s="3" t="s">
        <v>26</v>
      </c>
      <c r="D40" s="2" t="s">
        <v>27</v>
      </c>
      <c r="E40" s="2" t="s">
        <v>28</v>
      </c>
      <c r="F40" s="2" t="s">
        <v>29</v>
      </c>
      <c r="G40" s="4" t="n">
        <v>1</v>
      </c>
      <c r="H40" s="5"/>
      <c r="I40" s="4" t="n">
        <v>2495</v>
      </c>
      <c r="J40" s="6" t="n">
        <v>0</v>
      </c>
      <c r="K40" s="4" t="n">
        <v>0</v>
      </c>
      <c r="L40" s="4" t="n">
        <f aca="false">I40*(1-J40)-K40</f>
        <v>2495</v>
      </c>
      <c r="M40" s="4" t="n">
        <f aca="false">G40*L40</f>
        <v>2495</v>
      </c>
      <c r="N40" s="4" t="n">
        <v>124.75</v>
      </c>
      <c r="O40" s="4" t="n">
        <v>0</v>
      </c>
      <c r="P40" s="4" t="n">
        <v>0</v>
      </c>
      <c r="Q40" s="4" t="n">
        <f aca="false">M40+N40+O40+P40</f>
        <v>2619.75</v>
      </c>
      <c r="R40" s="4" t="n">
        <v>4480</v>
      </c>
      <c r="S40" s="4" t="n">
        <v>2869.25</v>
      </c>
      <c r="T40" s="4" t="n">
        <v>3243.5</v>
      </c>
      <c r="U40" s="4"/>
      <c r="V40" s="4"/>
    </row>
    <row r="41" customFormat="false" ht="19.5" hidden="false" customHeight="true" outlineLevel="0" collapsed="false">
      <c r="A41" s="2" t="n">
        <v>39</v>
      </c>
      <c r="B41" s="3" t="s">
        <v>67</v>
      </c>
      <c r="C41" s="3" t="s">
        <v>26</v>
      </c>
      <c r="D41" s="2" t="s">
        <v>27</v>
      </c>
      <c r="E41" s="2" t="s">
        <v>28</v>
      </c>
      <c r="F41" s="2" t="s">
        <v>29</v>
      </c>
      <c r="G41" s="4" t="n">
        <v>1</v>
      </c>
      <c r="H41" s="5"/>
      <c r="I41" s="4" t="n">
        <v>2495</v>
      </c>
      <c r="J41" s="6" t="n">
        <v>0</v>
      </c>
      <c r="K41" s="4" t="n">
        <v>0</v>
      </c>
      <c r="L41" s="4" t="n">
        <f aca="false">I41*(1-J41)-K41</f>
        <v>2495</v>
      </c>
      <c r="M41" s="4" t="n">
        <f aca="false">G41*L41</f>
        <v>2495</v>
      </c>
      <c r="N41" s="4" t="n">
        <v>124.75</v>
      </c>
      <c r="O41" s="4" t="n">
        <v>0</v>
      </c>
      <c r="P41" s="4" t="n">
        <v>0</v>
      </c>
      <c r="Q41" s="4" t="n">
        <f aca="false">M41+N41+O41+P41</f>
        <v>2619.75</v>
      </c>
      <c r="R41" s="4" t="n">
        <v>4480</v>
      </c>
      <c r="S41" s="4" t="n">
        <v>2869.25</v>
      </c>
      <c r="T41" s="4" t="n">
        <v>3243.5</v>
      </c>
      <c r="U41" s="4"/>
      <c r="V41" s="4"/>
    </row>
    <row r="42" customFormat="false" ht="19.5" hidden="false" customHeight="true" outlineLevel="0" collapsed="false">
      <c r="A42" s="2" t="n">
        <v>40</v>
      </c>
      <c r="B42" s="3" t="s">
        <v>68</v>
      </c>
      <c r="C42" s="3" t="s">
        <v>26</v>
      </c>
      <c r="D42" s="2" t="s">
        <v>27</v>
      </c>
      <c r="E42" s="2" t="s">
        <v>28</v>
      </c>
      <c r="F42" s="2" t="s">
        <v>29</v>
      </c>
      <c r="G42" s="4" t="n">
        <v>1</v>
      </c>
      <c r="H42" s="5"/>
      <c r="I42" s="4" t="n">
        <v>2495</v>
      </c>
      <c r="J42" s="6" t="n">
        <v>0</v>
      </c>
      <c r="K42" s="4" t="n">
        <v>0</v>
      </c>
      <c r="L42" s="4" t="n">
        <f aca="false">I42*(1-J42)-K42</f>
        <v>2495</v>
      </c>
      <c r="M42" s="4" t="n">
        <f aca="false">G42*L42</f>
        <v>2495</v>
      </c>
      <c r="N42" s="4" t="n">
        <v>124.75</v>
      </c>
      <c r="O42" s="4" t="n">
        <v>0</v>
      </c>
      <c r="P42" s="4" t="n">
        <v>0</v>
      </c>
      <c r="Q42" s="4" t="n">
        <f aca="false">M42+N42+O42+P42</f>
        <v>2619.75</v>
      </c>
      <c r="R42" s="4" t="n">
        <v>4480</v>
      </c>
      <c r="S42" s="4" t="n">
        <v>2869.25</v>
      </c>
      <c r="T42" s="4" t="n">
        <v>3243.5</v>
      </c>
      <c r="U42" s="4"/>
      <c r="V42" s="4"/>
    </row>
    <row r="43" customFormat="false" ht="19.5" hidden="false" customHeight="true" outlineLevel="0" collapsed="false">
      <c r="A43" s="2" t="n">
        <v>41</v>
      </c>
      <c r="B43" s="3" t="s">
        <v>69</v>
      </c>
      <c r="C43" s="3" t="s">
        <v>26</v>
      </c>
      <c r="D43" s="2" t="s">
        <v>27</v>
      </c>
      <c r="E43" s="2" t="s">
        <v>28</v>
      </c>
      <c r="F43" s="2" t="s">
        <v>29</v>
      </c>
      <c r="G43" s="4" t="n">
        <v>1</v>
      </c>
      <c r="H43" s="5"/>
      <c r="I43" s="4" t="n">
        <v>2495</v>
      </c>
      <c r="J43" s="6" t="n">
        <v>0</v>
      </c>
      <c r="K43" s="4" t="n">
        <v>0</v>
      </c>
      <c r="L43" s="4" t="n">
        <f aca="false">I43*(1-J43)-K43</f>
        <v>2495</v>
      </c>
      <c r="M43" s="4" t="n">
        <f aca="false">G43*L43</f>
        <v>2495</v>
      </c>
      <c r="N43" s="4" t="n">
        <v>124.75</v>
      </c>
      <c r="O43" s="4" t="n">
        <v>0</v>
      </c>
      <c r="P43" s="4" t="n">
        <v>0</v>
      </c>
      <c r="Q43" s="4" t="n">
        <f aca="false">M43+N43+O43+P43</f>
        <v>2619.75</v>
      </c>
      <c r="R43" s="4" t="n">
        <v>4480</v>
      </c>
      <c r="S43" s="4" t="n">
        <v>2869.25</v>
      </c>
      <c r="T43" s="4" t="n">
        <v>3243.5</v>
      </c>
      <c r="U43" s="4"/>
      <c r="V43" s="4"/>
    </row>
    <row r="44" customFormat="false" ht="19.5" hidden="false" customHeight="true" outlineLevel="0" collapsed="false">
      <c r="A44" s="2" t="n">
        <v>42</v>
      </c>
      <c r="B44" s="3" t="s">
        <v>70</v>
      </c>
      <c r="C44" s="3" t="s">
        <v>26</v>
      </c>
      <c r="D44" s="2" t="s">
        <v>27</v>
      </c>
      <c r="E44" s="2" t="s">
        <v>28</v>
      </c>
      <c r="F44" s="2" t="s">
        <v>29</v>
      </c>
      <c r="G44" s="4" t="n">
        <v>1</v>
      </c>
      <c r="H44" s="5"/>
      <c r="I44" s="4" t="n">
        <v>2495</v>
      </c>
      <c r="J44" s="6" t="n">
        <v>0</v>
      </c>
      <c r="K44" s="4" t="n">
        <v>0</v>
      </c>
      <c r="L44" s="4" t="n">
        <f aca="false">I44*(1-J44)-K44</f>
        <v>2495</v>
      </c>
      <c r="M44" s="4" t="n">
        <f aca="false">G44*L44</f>
        <v>2495</v>
      </c>
      <c r="N44" s="4" t="n">
        <v>124.75</v>
      </c>
      <c r="O44" s="4" t="n">
        <v>0</v>
      </c>
      <c r="P44" s="4" t="n">
        <v>0</v>
      </c>
      <c r="Q44" s="4" t="n">
        <f aca="false">M44+N44+O44+P44</f>
        <v>2619.75</v>
      </c>
      <c r="R44" s="4" t="n">
        <v>4480</v>
      </c>
      <c r="S44" s="4" t="n">
        <v>2869.25</v>
      </c>
      <c r="T44" s="4" t="n">
        <v>3243.5</v>
      </c>
      <c r="U44" s="4"/>
      <c r="V44" s="4"/>
    </row>
    <row r="45" customFormat="false" ht="19.5" hidden="false" customHeight="true" outlineLevel="0" collapsed="false">
      <c r="A45" s="2" t="n">
        <v>43</v>
      </c>
      <c r="B45" s="3" t="s">
        <v>71</v>
      </c>
      <c r="C45" s="3" t="s">
        <v>26</v>
      </c>
      <c r="D45" s="2" t="s">
        <v>27</v>
      </c>
      <c r="E45" s="2" t="s">
        <v>28</v>
      </c>
      <c r="F45" s="2" t="s">
        <v>29</v>
      </c>
      <c r="G45" s="4" t="n">
        <v>1</v>
      </c>
      <c r="H45" s="5"/>
      <c r="I45" s="4" t="n">
        <v>2195</v>
      </c>
      <c r="J45" s="6" t="n">
        <v>0</v>
      </c>
      <c r="K45" s="4" t="n">
        <v>0</v>
      </c>
      <c r="L45" s="4" t="n">
        <f aca="false">I45*(1-J45)-K45</f>
        <v>2195</v>
      </c>
      <c r="M45" s="4" t="n">
        <f aca="false">G45*L45</f>
        <v>2195</v>
      </c>
      <c r="N45" s="4" t="n">
        <v>109.75</v>
      </c>
      <c r="O45" s="4" t="n">
        <v>0</v>
      </c>
      <c r="P45" s="4" t="n">
        <v>0</v>
      </c>
      <c r="Q45" s="4" t="n">
        <f aca="false">M45+N45+O45+P45</f>
        <v>2304.75</v>
      </c>
      <c r="R45" s="4" t="n">
        <v>3980</v>
      </c>
      <c r="S45" s="4" t="n">
        <v>2524.25</v>
      </c>
      <c r="T45" s="4" t="n">
        <v>2853.5</v>
      </c>
      <c r="U45" s="4"/>
      <c r="V45" s="4"/>
    </row>
    <row r="46" customFormat="false" ht="19.5" hidden="false" customHeight="true" outlineLevel="0" collapsed="false">
      <c r="A46" s="2" t="n">
        <v>44</v>
      </c>
      <c r="B46" s="3" t="s">
        <v>72</v>
      </c>
      <c r="C46" s="3" t="s">
        <v>26</v>
      </c>
      <c r="D46" s="2" t="s">
        <v>27</v>
      </c>
      <c r="E46" s="2" t="s">
        <v>28</v>
      </c>
      <c r="F46" s="2" t="s">
        <v>29</v>
      </c>
      <c r="G46" s="4" t="n">
        <v>1</v>
      </c>
      <c r="H46" s="5"/>
      <c r="I46" s="4" t="n">
        <v>2195</v>
      </c>
      <c r="J46" s="6" t="n">
        <v>0</v>
      </c>
      <c r="K46" s="4" t="n">
        <v>0</v>
      </c>
      <c r="L46" s="4" t="n">
        <f aca="false">I46*(1-J46)-K46</f>
        <v>2195</v>
      </c>
      <c r="M46" s="4" t="n">
        <f aca="false">G46*L46</f>
        <v>2195</v>
      </c>
      <c r="N46" s="4" t="n">
        <v>109.75</v>
      </c>
      <c r="O46" s="4" t="n">
        <v>0</v>
      </c>
      <c r="P46" s="4" t="n">
        <v>0</v>
      </c>
      <c r="Q46" s="4" t="n">
        <f aca="false">M46+N46+O46+P46</f>
        <v>2304.75</v>
      </c>
      <c r="R46" s="4" t="n">
        <v>3980</v>
      </c>
      <c r="S46" s="4" t="n">
        <v>2524.25</v>
      </c>
      <c r="T46" s="4" t="n">
        <v>2853.5</v>
      </c>
      <c r="U46" s="4"/>
      <c r="V46" s="4"/>
    </row>
    <row r="47" customFormat="false" ht="19.5" hidden="false" customHeight="true" outlineLevel="0" collapsed="false">
      <c r="A47" s="2" t="n">
        <v>45</v>
      </c>
      <c r="B47" s="3" t="s">
        <v>73</v>
      </c>
      <c r="C47" s="3" t="s">
        <v>26</v>
      </c>
      <c r="D47" s="2" t="s">
        <v>27</v>
      </c>
      <c r="E47" s="2" t="s">
        <v>28</v>
      </c>
      <c r="F47" s="2" t="s">
        <v>29</v>
      </c>
      <c r="G47" s="4" t="n">
        <v>1</v>
      </c>
      <c r="H47" s="5"/>
      <c r="I47" s="4" t="n">
        <v>2195</v>
      </c>
      <c r="J47" s="6" t="n">
        <v>0</v>
      </c>
      <c r="K47" s="4" t="n">
        <v>0</v>
      </c>
      <c r="L47" s="4" t="n">
        <f aca="false">I47*(1-J47)-K47</f>
        <v>2195</v>
      </c>
      <c r="M47" s="4" t="n">
        <f aca="false">G47*L47</f>
        <v>2195</v>
      </c>
      <c r="N47" s="4" t="n">
        <v>109.75</v>
      </c>
      <c r="O47" s="4" t="n">
        <v>0</v>
      </c>
      <c r="P47" s="4" t="n">
        <v>0</v>
      </c>
      <c r="Q47" s="4" t="n">
        <f aca="false">M47+N47+O47+P47</f>
        <v>2304.75</v>
      </c>
      <c r="R47" s="4" t="n">
        <v>3980</v>
      </c>
      <c r="S47" s="4" t="n">
        <v>2524.25</v>
      </c>
      <c r="T47" s="4" t="n">
        <v>2853.5</v>
      </c>
      <c r="U47" s="4"/>
      <c r="V47" s="4"/>
    </row>
    <row r="48" customFormat="false" ht="19.5" hidden="false" customHeight="true" outlineLevel="0" collapsed="false">
      <c r="A48" s="2" t="n">
        <v>46</v>
      </c>
      <c r="B48" s="3" t="s">
        <v>74</v>
      </c>
      <c r="C48" s="3" t="s">
        <v>26</v>
      </c>
      <c r="D48" s="2" t="s">
        <v>27</v>
      </c>
      <c r="E48" s="2" t="s">
        <v>28</v>
      </c>
      <c r="F48" s="2" t="s">
        <v>29</v>
      </c>
      <c r="G48" s="4" t="n">
        <v>1</v>
      </c>
      <c r="H48" s="5"/>
      <c r="I48" s="4" t="n">
        <v>2095</v>
      </c>
      <c r="J48" s="6" t="n">
        <v>0</v>
      </c>
      <c r="K48" s="4" t="n">
        <v>0</v>
      </c>
      <c r="L48" s="4" t="n">
        <f aca="false">I48*(1-J48)-K48</f>
        <v>2095</v>
      </c>
      <c r="M48" s="4" t="n">
        <f aca="false">G48*L48</f>
        <v>2095</v>
      </c>
      <c r="N48" s="4" t="n">
        <v>104.75</v>
      </c>
      <c r="O48" s="4" t="n">
        <v>0</v>
      </c>
      <c r="P48" s="4" t="n">
        <v>0</v>
      </c>
      <c r="Q48" s="4" t="n">
        <f aca="false">M48+N48+O48+P48</f>
        <v>2199.75</v>
      </c>
      <c r="R48" s="4" t="n">
        <v>3980</v>
      </c>
      <c r="S48" s="4" t="n">
        <v>2409.25</v>
      </c>
      <c r="T48" s="4" t="n">
        <v>2723.5</v>
      </c>
      <c r="U48" s="4"/>
      <c r="V48" s="4"/>
    </row>
    <row r="49" customFormat="false" ht="19.5" hidden="false" customHeight="true" outlineLevel="0" collapsed="false">
      <c r="A49" s="2" t="n">
        <v>47</v>
      </c>
      <c r="B49" s="3" t="s">
        <v>75</v>
      </c>
      <c r="C49" s="3" t="s">
        <v>26</v>
      </c>
      <c r="D49" s="2" t="s">
        <v>27</v>
      </c>
      <c r="E49" s="2" t="s">
        <v>28</v>
      </c>
      <c r="F49" s="2" t="s">
        <v>29</v>
      </c>
      <c r="G49" s="4" t="n">
        <v>1</v>
      </c>
      <c r="H49" s="5"/>
      <c r="I49" s="4" t="n">
        <v>2095</v>
      </c>
      <c r="J49" s="6" t="n">
        <v>0</v>
      </c>
      <c r="K49" s="4" t="n">
        <v>0</v>
      </c>
      <c r="L49" s="4" t="n">
        <f aca="false">I49*(1-J49)-K49</f>
        <v>2095</v>
      </c>
      <c r="M49" s="4" t="n">
        <f aca="false">G49*L49</f>
        <v>2095</v>
      </c>
      <c r="N49" s="4" t="n">
        <v>104.75</v>
      </c>
      <c r="O49" s="4" t="n">
        <v>0</v>
      </c>
      <c r="P49" s="4" t="n">
        <v>0</v>
      </c>
      <c r="Q49" s="4" t="n">
        <f aca="false">M49+N49+O49+P49</f>
        <v>2199.75</v>
      </c>
      <c r="R49" s="4" t="n">
        <v>3980</v>
      </c>
      <c r="S49" s="4" t="n">
        <v>2409.25</v>
      </c>
      <c r="T49" s="4" t="n">
        <v>2723.5</v>
      </c>
      <c r="U49" s="4"/>
      <c r="V49" s="4"/>
    </row>
    <row r="50" customFormat="false" ht="19.5" hidden="false" customHeight="true" outlineLevel="0" collapsed="false">
      <c r="A50" s="2" t="n">
        <v>48</v>
      </c>
      <c r="B50" s="3" t="s">
        <v>76</v>
      </c>
      <c r="C50" s="3" t="s">
        <v>26</v>
      </c>
      <c r="D50" s="2" t="s">
        <v>27</v>
      </c>
      <c r="E50" s="2" t="s">
        <v>28</v>
      </c>
      <c r="F50" s="2" t="s">
        <v>29</v>
      </c>
      <c r="G50" s="4" t="n">
        <v>1</v>
      </c>
      <c r="H50" s="5"/>
      <c r="I50" s="4" t="n">
        <v>2095</v>
      </c>
      <c r="J50" s="6" t="n">
        <v>0</v>
      </c>
      <c r="K50" s="4" t="n">
        <v>0</v>
      </c>
      <c r="L50" s="4" t="n">
        <f aca="false">I50*(1-J50)-K50</f>
        <v>2095</v>
      </c>
      <c r="M50" s="4" t="n">
        <f aca="false">G50*L50</f>
        <v>2095</v>
      </c>
      <c r="N50" s="4" t="n">
        <v>104.75</v>
      </c>
      <c r="O50" s="4" t="n">
        <v>0</v>
      </c>
      <c r="P50" s="4" t="n">
        <v>0</v>
      </c>
      <c r="Q50" s="4" t="n">
        <f aca="false">M50+N50+O50+P50</f>
        <v>2199.75</v>
      </c>
      <c r="R50" s="4" t="n">
        <v>3980</v>
      </c>
      <c r="S50" s="4" t="n">
        <v>2409.25</v>
      </c>
      <c r="T50" s="4" t="n">
        <v>2723.5</v>
      </c>
      <c r="U50" s="4"/>
      <c r="V50" s="4"/>
    </row>
    <row r="51" customFormat="false" ht="19.5" hidden="false" customHeight="true" outlineLevel="0" collapsed="false">
      <c r="A51" s="7" t="s">
        <v>77</v>
      </c>
      <c r="B51" s="8"/>
      <c r="C51" s="8"/>
      <c r="D51" s="8"/>
      <c r="E51" s="8"/>
      <c r="F51" s="8"/>
      <c r="G51" s="8" t="n">
        <f aca="false">SUM(G3:G50)</f>
        <v>48</v>
      </c>
      <c r="H51" s="8"/>
      <c r="I51" s="8"/>
      <c r="J51" s="8"/>
      <c r="K51" s="8"/>
      <c r="L51" s="8"/>
      <c r="M51" s="8" t="n">
        <f aca="false">SUM(M3:M50)</f>
        <v>113160</v>
      </c>
      <c r="N51" s="8" t="n">
        <f aca="false">SUM(N3:N50)</f>
        <v>5658</v>
      </c>
      <c r="O51" s="8" t="n">
        <f aca="false">SUM(O3:O50)</f>
        <v>0</v>
      </c>
      <c r="P51" s="8" t="n">
        <f aca="false">SUM(P3:P50)</f>
        <v>0</v>
      </c>
      <c r="Q51" s="8" t="n">
        <f aca="false">SUM(Q3:Q50)</f>
        <v>118818</v>
      </c>
      <c r="R51" s="8"/>
      <c r="S51" s="8"/>
      <c r="T51" s="8"/>
      <c r="U51" s="8"/>
      <c r="V51" s="8"/>
    </row>
    <row r="53" customFormat="false" ht="15" hidden="false" customHeight="false" outlineLevel="0" collapsed="false">
      <c r="A53" s="9" t="s">
        <v>78</v>
      </c>
    </row>
    <row r="54" customFormat="false" ht="21.75" hidden="false" customHeight="true" outlineLevel="0" collapsed="false">
      <c r="A54" s="10" t="s">
        <v>0</v>
      </c>
      <c r="B54" s="10" t="s">
        <v>79</v>
      </c>
      <c r="C54" s="10" t="s">
        <v>80</v>
      </c>
      <c r="D54" s="10" t="s">
        <v>81</v>
      </c>
      <c r="E54" s="10" t="s">
        <v>82</v>
      </c>
      <c r="F54" s="10" t="s">
        <v>8</v>
      </c>
      <c r="G54" s="10" t="s">
        <v>9</v>
      </c>
    </row>
    <row r="55" customFormat="false" ht="18" hidden="false" customHeight="true" outlineLevel="0" collapsed="false">
      <c r="A55" s="11" t="n">
        <v>1</v>
      </c>
      <c r="B55" s="11" t="n">
        <v>1</v>
      </c>
      <c r="C55" s="11" t="s">
        <v>26</v>
      </c>
      <c r="D55" s="12" t="n">
        <v>4</v>
      </c>
      <c r="E55" s="12" t="n">
        <v>8380</v>
      </c>
      <c r="F55" s="12" t="n">
        <v>419</v>
      </c>
      <c r="G55" s="12" t="n">
        <v>8799</v>
      </c>
    </row>
    <row r="56" customFormat="false" ht="18" hidden="false" customHeight="true" outlineLevel="0" collapsed="false">
      <c r="A56" s="11" t="n">
        <v>2</v>
      </c>
      <c r="B56" s="11" t="n">
        <v>2</v>
      </c>
      <c r="C56" s="11" t="s">
        <v>26</v>
      </c>
      <c r="D56" s="12" t="n">
        <v>3</v>
      </c>
      <c r="E56" s="12" t="n">
        <v>6885</v>
      </c>
      <c r="F56" s="12" t="n">
        <v>344.25</v>
      </c>
      <c r="G56" s="12" t="n">
        <v>7229.25</v>
      </c>
    </row>
    <row r="57" customFormat="false" ht="18" hidden="false" customHeight="true" outlineLevel="0" collapsed="false">
      <c r="A57" s="11" t="n">
        <v>3</v>
      </c>
      <c r="B57" s="11" t="n">
        <v>3</v>
      </c>
      <c r="C57" s="11" t="s">
        <v>26</v>
      </c>
      <c r="D57" s="12" t="n">
        <v>3</v>
      </c>
      <c r="E57" s="12" t="n">
        <v>7485</v>
      </c>
      <c r="F57" s="12" t="n">
        <v>374.25</v>
      </c>
      <c r="G57" s="12" t="n">
        <v>7859.25</v>
      </c>
    </row>
    <row r="58" customFormat="false" ht="18" hidden="false" customHeight="true" outlineLevel="0" collapsed="false">
      <c r="A58" s="11" t="n">
        <v>4</v>
      </c>
      <c r="B58" s="11" t="n">
        <v>4</v>
      </c>
      <c r="C58" s="11" t="s">
        <v>26</v>
      </c>
      <c r="D58" s="12" t="n">
        <v>5</v>
      </c>
      <c r="E58" s="12" t="n">
        <v>10975</v>
      </c>
      <c r="F58" s="12" t="n">
        <v>548.75</v>
      </c>
      <c r="G58" s="12" t="n">
        <v>11523.75</v>
      </c>
    </row>
    <row r="59" customFormat="false" ht="18" hidden="false" customHeight="true" outlineLevel="0" collapsed="false">
      <c r="A59" s="11" t="n">
        <v>5</v>
      </c>
      <c r="B59" s="11" t="n">
        <v>5</v>
      </c>
      <c r="C59" s="11" t="s">
        <v>26</v>
      </c>
      <c r="D59" s="12" t="n">
        <v>4</v>
      </c>
      <c r="E59" s="12" t="n">
        <v>8380</v>
      </c>
      <c r="F59" s="12" t="n">
        <v>419</v>
      </c>
      <c r="G59" s="12" t="n">
        <v>8799</v>
      </c>
    </row>
    <row r="60" customFormat="false" ht="18" hidden="false" customHeight="true" outlineLevel="0" collapsed="false">
      <c r="A60" s="11" t="n">
        <v>6</v>
      </c>
      <c r="B60" s="11" t="n">
        <v>6</v>
      </c>
      <c r="C60" s="11" t="s">
        <v>26</v>
      </c>
      <c r="D60" s="12" t="n">
        <v>4</v>
      </c>
      <c r="E60" s="12" t="n">
        <v>10780</v>
      </c>
      <c r="F60" s="12" t="n">
        <v>539</v>
      </c>
      <c r="G60" s="12" t="n">
        <v>11319</v>
      </c>
    </row>
    <row r="61" customFormat="false" ht="18" hidden="false" customHeight="true" outlineLevel="0" collapsed="false">
      <c r="A61" s="11" t="n">
        <v>7</v>
      </c>
      <c r="B61" s="11" t="n">
        <v>7</v>
      </c>
      <c r="C61" s="11" t="s">
        <v>26</v>
      </c>
      <c r="D61" s="12" t="n">
        <v>4</v>
      </c>
      <c r="E61" s="12" t="n">
        <v>9980</v>
      </c>
      <c r="F61" s="12" t="n">
        <v>499</v>
      </c>
      <c r="G61" s="12" t="n">
        <v>10479</v>
      </c>
    </row>
    <row r="62" customFormat="false" ht="18" hidden="false" customHeight="true" outlineLevel="0" collapsed="false">
      <c r="A62" s="11" t="n">
        <v>8</v>
      </c>
      <c r="B62" s="11" t="n">
        <v>8</v>
      </c>
      <c r="C62" s="11" t="s">
        <v>26</v>
      </c>
      <c r="D62" s="12" t="n">
        <v>5</v>
      </c>
      <c r="E62" s="12" t="n">
        <v>12475</v>
      </c>
      <c r="F62" s="12" t="n">
        <v>623.75</v>
      </c>
      <c r="G62" s="12" t="n">
        <v>13098.75</v>
      </c>
    </row>
    <row r="63" customFormat="false" ht="18" hidden="false" customHeight="true" outlineLevel="0" collapsed="false">
      <c r="A63" s="11" t="n">
        <v>9</v>
      </c>
      <c r="B63" s="11" t="n">
        <v>9</v>
      </c>
      <c r="C63" s="11" t="s">
        <v>26</v>
      </c>
      <c r="D63" s="12" t="n">
        <v>5</v>
      </c>
      <c r="E63" s="12" t="n">
        <v>12475</v>
      </c>
      <c r="F63" s="12" t="n">
        <v>623.75</v>
      </c>
      <c r="G63" s="12" t="n">
        <v>13098.75</v>
      </c>
    </row>
    <row r="64" customFormat="false" ht="18" hidden="false" customHeight="true" outlineLevel="0" collapsed="false">
      <c r="A64" s="11" t="n">
        <v>10</v>
      </c>
      <c r="B64" s="11" t="n">
        <v>10</v>
      </c>
      <c r="C64" s="11" t="s">
        <v>26</v>
      </c>
      <c r="D64" s="12" t="n">
        <v>5</v>
      </c>
      <c r="E64" s="12" t="n">
        <v>12475</v>
      </c>
      <c r="F64" s="12" t="n">
        <v>623.75</v>
      </c>
      <c r="G64" s="12" t="n">
        <v>13098.75</v>
      </c>
    </row>
    <row r="65" customFormat="false" ht="18" hidden="false" customHeight="true" outlineLevel="0" collapsed="false">
      <c r="A65" s="11" t="n">
        <v>11</v>
      </c>
      <c r="B65" s="11" t="n">
        <v>11</v>
      </c>
      <c r="C65" s="11" t="s">
        <v>26</v>
      </c>
      <c r="D65" s="12" t="n">
        <v>3</v>
      </c>
      <c r="E65" s="12" t="n">
        <v>6585</v>
      </c>
      <c r="F65" s="12" t="n">
        <v>329.25</v>
      </c>
      <c r="G65" s="12" t="n">
        <v>6914.25</v>
      </c>
    </row>
    <row r="66" customFormat="false" ht="18" hidden="false" customHeight="true" outlineLevel="0" collapsed="false">
      <c r="A66" s="11" t="n">
        <v>12</v>
      </c>
      <c r="B66" s="11" t="n">
        <v>12</v>
      </c>
      <c r="C66" s="11" t="s">
        <v>26</v>
      </c>
      <c r="D66" s="12" t="n">
        <v>3</v>
      </c>
      <c r="E66" s="12" t="n">
        <v>6285</v>
      </c>
      <c r="F66" s="12" t="n">
        <v>314.25</v>
      </c>
      <c r="G66" s="12" t="n">
        <v>6599.25</v>
      </c>
    </row>
    <row r="67" customFormat="false" ht="15" hidden="false" customHeight="false" outlineLevel="0" collapsed="false">
      <c r="A67" s="13" t="s">
        <v>77</v>
      </c>
      <c r="B67" s="13"/>
      <c r="C67" s="13"/>
      <c r="D67" s="14" t="n">
        <f aca="false">SUM(D55:D66)</f>
        <v>48</v>
      </c>
      <c r="E67" s="14" t="n">
        <f aca="false">SUM(E55:E66)</f>
        <v>113160</v>
      </c>
      <c r="F67" s="14" t="n">
        <f aca="false">SUM(F55:F66)</f>
        <v>5658</v>
      </c>
      <c r="G67" s="14" t="n">
        <f aca="false">SUM(G55:G66)</f>
        <v>118818</v>
      </c>
    </row>
  </sheetData>
  <mergeCells count="15">
    <mergeCell ref="A1:A2"/>
    <mergeCell ref="B1:F1"/>
    <mergeCell ref="G1:G2"/>
    <mergeCell ref="H1:H2"/>
    <mergeCell ref="I1:I2"/>
    <mergeCell ref="J1:K1"/>
    <mergeCell ref="L1:L2"/>
    <mergeCell ref="M1:M2"/>
    <mergeCell ref="N1:P1"/>
    <mergeCell ref="Q1:Q2"/>
    <mergeCell ref="R1:R2"/>
    <mergeCell ref="S1:S2"/>
    <mergeCell ref="T1:T2"/>
    <mergeCell ref="U1:U2"/>
    <mergeCell ref="V1:V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2026-09-09T09:12:56Z</dcterms:created>
  <dc:creator>openpyxl</dc:creator>
  <dc:description/>
  <dc:language>en-US</dc:language>
  <cp:lastModifiedBy/>
  <dcterms:modified xsi:type="dcterms:W3CDTF">2026-09-10T04:24:03Z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