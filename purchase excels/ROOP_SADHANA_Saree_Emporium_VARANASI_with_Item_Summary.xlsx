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6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<sst xmlns="http://schemas.openxmlformats.org/spreadsheetml/2006/main" count="89" uniqueCount="46">
  <si>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</si>
  <si>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</si>
  <si>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</si>
  <si>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</si>
  <si>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</si>
  <si>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</si>
  <si>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</si>
  <si>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</si>
  <si>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</si>
  <si>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</si>
  <si>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</si>
  <si>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</si>
  <si>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</si>
  <si>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</si>
  <si>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</si>
  <si>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</si>
  <si>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</si>
  <si>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</si>
  <si>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</si>
  <si>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</si>
  <si>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</si>
  <si>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</si>
  <si>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</si>
  <si>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</si>
  <si>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</si>
  <si>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8A3501</t>
  </si>
  <si>
    <t xml:space="preserve">4-F-W BDR</t>
  </si>
  <si>
    <t xml:space="preserve">540710</t>
  </si>
  <si>
    <t xml:space="preserve">GST 5 %</t>
  </si>
  <si>
    <t xml:space="preserve">Mtr</t>
  </si>
  <si>
    <t xml:space="preserve">Edit</t>
  </si>
  <si>
    <t xml:space="preserve">8A3502</t>
  </si>
  <si>
    <t xml:space="preserve">8A3503</t>
  </si>
  <si>
    <t xml:space="preserve">8A3504</t>
  </si>
  <si>
    <t xml:space="preserve">8A3505</t>
  </si>
  <si>
    <t xml:space="preserve">8A3506</t>
  </si>
  <si>
    <t xml:space="preserve">8A3507</t>
  </si>
  <si>
    <t xml:space="preserve">8A3508</t>
  </si>
  <si>
    <t xml:space="preserve">8A3509</t>
  </si>
  <si>
    <t xml:space="preserve">4-VNS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</si>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</sst>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0"/>
    <col collapsed="false" customWidth="true" hidden="false" outlineLevel="0" max="17" min="13" style="0" width="16"/>
    <col collapsed="false" customWidth="true" hidden="false" outlineLevel="0" max="20" min="18" style="0" width="20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 t="n">
        <v>12</v>
      </c>
      <c r="H3" s="5" t="n">
        <v>8</v>
      </c>
      <c r="I3" s="5" t="n">
        <v>360</v>
      </c>
      <c r="J3" s="5" t="n">
        <v>0</v>
      </c>
      <c r="K3" s="5" t="n">
        <v>0</v>
      </c>
      <c r="L3" s="5" t="n">
        <v>360</v>
      </c>
      <c r="M3" s="5" t="n">
        <v>4320</v>
      </c>
      <c r="N3" s="5" t="n">
        <v>216</v>
      </c>
      <c r="O3" s="5" t="n">
        <v>0</v>
      </c>
      <c r="P3" s="5" t="n">
        <v>0</v>
      </c>
      <c r="Q3" s="5" t="n">
        <v>4536</v>
      </c>
      <c r="R3" s="5" t="n">
        <v>690</v>
      </c>
      <c r="S3" s="5" t="n">
        <v>414</v>
      </c>
      <c r="T3" s="5" t="n">
        <v>468</v>
      </c>
      <c r="U3" s="6"/>
      <c r="V3" s="3" t="s">
        <v>30</v>
      </c>
    </row>
    <row r="4" customFormat="false" ht="15" hidden="false" customHeight="true" outlineLevel="0" collapsed="false">
      <c r="A4" s="3" t="n">
        <v>2</v>
      </c>
      <c r="B4" s="4" t="s">
        <v>31</v>
      </c>
      <c r="C4" s="4" t="s">
        <v>26</v>
      </c>
      <c r="D4" s="3" t="s">
        <v>27</v>
      </c>
      <c r="E4" s="3" t="s">
        <v>28</v>
      </c>
      <c r="F4" s="3" t="s">
        <v>29</v>
      </c>
      <c r="G4" s="5" t="n">
        <v>12</v>
      </c>
      <c r="H4" s="5" t="n">
        <v>8</v>
      </c>
      <c r="I4" s="5" t="n">
        <v>360</v>
      </c>
      <c r="J4" s="5" t="n">
        <v>0</v>
      </c>
      <c r="K4" s="5" t="n">
        <v>0</v>
      </c>
      <c r="L4" s="5" t="n">
        <v>360</v>
      </c>
      <c r="M4" s="5" t="n">
        <v>4320</v>
      </c>
      <c r="N4" s="5" t="n">
        <v>216</v>
      </c>
      <c r="O4" s="5" t="n">
        <v>0</v>
      </c>
      <c r="P4" s="5" t="n">
        <v>0</v>
      </c>
      <c r="Q4" s="5" t="n">
        <v>4536</v>
      </c>
      <c r="R4" s="5" t="n">
        <v>690</v>
      </c>
      <c r="S4" s="5" t="n">
        <v>414</v>
      </c>
      <c r="T4" s="5" t="n">
        <v>468</v>
      </c>
      <c r="U4" s="6"/>
      <c r="V4" s="3" t="s">
        <v>30</v>
      </c>
    </row>
    <row r="5" customFormat="false" ht="15" hidden="false" customHeight="true" outlineLevel="0" collapsed="false">
      <c r="A5" s="3" t="n">
        <v>3</v>
      </c>
      <c r="B5" s="4" t="s">
        <v>32</v>
      </c>
      <c r="C5" s="4" t="s">
        <v>26</v>
      </c>
      <c r="D5" s="3" t="s">
        <v>27</v>
      </c>
      <c r="E5" s="3" t="s">
        <v>28</v>
      </c>
      <c r="F5" s="3" t="s">
        <v>29</v>
      </c>
      <c r="G5" s="5" t="n">
        <v>12</v>
      </c>
      <c r="H5" s="5" t="n">
        <v>8</v>
      </c>
      <c r="I5" s="5" t="n">
        <v>360</v>
      </c>
      <c r="J5" s="5" t="n">
        <v>0</v>
      </c>
      <c r="K5" s="5" t="n">
        <v>0</v>
      </c>
      <c r="L5" s="5" t="n">
        <v>360</v>
      </c>
      <c r="M5" s="5" t="n">
        <v>4320</v>
      </c>
      <c r="N5" s="5" t="n">
        <v>216</v>
      </c>
      <c r="O5" s="5" t="n">
        <v>0</v>
      </c>
      <c r="P5" s="5" t="n">
        <v>0</v>
      </c>
      <c r="Q5" s="5" t="n">
        <v>4536</v>
      </c>
      <c r="R5" s="5" t="n">
        <v>690</v>
      </c>
      <c r="S5" s="5" t="n">
        <v>414</v>
      </c>
      <c r="T5" s="5" t="n">
        <v>468</v>
      </c>
      <c r="U5" s="6"/>
      <c r="V5" s="3" t="s">
        <v>30</v>
      </c>
    </row>
    <row r="6" customFormat="false" ht="15" hidden="false" customHeight="true" outlineLevel="0" collapsed="false">
      <c r="A6" s="3" t="n">
        <v>4</v>
      </c>
      <c r="B6" s="4" t="s">
        <v>33</v>
      </c>
      <c r="C6" s="4" t="s">
        <v>26</v>
      </c>
      <c r="D6" s="3" t="s">
        <v>27</v>
      </c>
      <c r="E6" s="3" t="s">
        <v>28</v>
      </c>
      <c r="F6" s="3" t="s">
        <v>29</v>
      </c>
      <c r="G6" s="5" t="n">
        <v>12</v>
      </c>
      <c r="H6" s="5" t="n">
        <v>8</v>
      </c>
      <c r="I6" s="5" t="n">
        <v>360</v>
      </c>
      <c r="J6" s="5" t="n">
        <v>0</v>
      </c>
      <c r="K6" s="5" t="n">
        <v>0</v>
      </c>
      <c r="L6" s="5" t="n">
        <v>360</v>
      </c>
      <c r="M6" s="5" t="n">
        <v>4320</v>
      </c>
      <c r="N6" s="5" t="n">
        <v>216</v>
      </c>
      <c r="O6" s="5" t="n">
        <v>0</v>
      </c>
      <c r="P6" s="5" t="n">
        <v>0</v>
      </c>
      <c r="Q6" s="5" t="n">
        <v>4536</v>
      </c>
      <c r="R6" s="5" t="n">
        <v>690</v>
      </c>
      <c r="S6" s="5" t="n">
        <v>414</v>
      </c>
      <c r="T6" s="5" t="n">
        <v>468</v>
      </c>
      <c r="U6" s="6"/>
      <c r="V6" s="3" t="s">
        <v>30</v>
      </c>
    </row>
    <row r="7" customFormat="false" ht="15" hidden="false" customHeight="true" outlineLevel="0" collapsed="false">
      <c r="A7" s="3" t="n">
        <v>5</v>
      </c>
      <c r="B7" s="4" t="s">
        <v>34</v>
      </c>
      <c r="C7" s="4" t="s">
        <v>26</v>
      </c>
      <c r="D7" s="3" t="s">
        <v>27</v>
      </c>
      <c r="E7" s="3" t="s">
        <v>28</v>
      </c>
      <c r="F7" s="3" t="s">
        <v>29</v>
      </c>
      <c r="G7" s="5" t="n">
        <v>12</v>
      </c>
      <c r="H7" s="5" t="n">
        <v>8</v>
      </c>
      <c r="I7" s="5" t="n">
        <v>360</v>
      </c>
      <c r="J7" s="5" t="n">
        <v>0</v>
      </c>
      <c r="K7" s="5" t="n">
        <v>0</v>
      </c>
      <c r="L7" s="5" t="n">
        <v>360</v>
      </c>
      <c r="M7" s="5" t="n">
        <v>4320</v>
      </c>
      <c r="N7" s="5" t="n">
        <v>216</v>
      </c>
      <c r="O7" s="5" t="n">
        <v>0</v>
      </c>
      <c r="P7" s="5" t="n">
        <v>0</v>
      </c>
      <c r="Q7" s="5" t="n">
        <v>4536</v>
      </c>
      <c r="R7" s="5" t="n">
        <v>690</v>
      </c>
      <c r="S7" s="5" t="n">
        <v>414</v>
      </c>
      <c r="T7" s="5" t="n">
        <v>468</v>
      </c>
      <c r="U7" s="6"/>
      <c r="V7" s="3" t="s">
        <v>30</v>
      </c>
    </row>
    <row r="8" customFormat="false" ht="15" hidden="false" customHeight="true" outlineLevel="0" collapsed="false">
      <c r="A8" s="3" t="n">
        <v>6</v>
      </c>
      <c r="B8" s="4" t="s">
        <v>35</v>
      </c>
      <c r="C8" s="4" t="s">
        <v>26</v>
      </c>
      <c r="D8" s="3" t="s">
        <v>27</v>
      </c>
      <c r="E8" s="3" t="s">
        <v>28</v>
      </c>
      <c r="F8" s="3" t="s">
        <v>29</v>
      </c>
      <c r="G8" s="5" t="n">
        <v>12</v>
      </c>
      <c r="H8" s="5" t="n">
        <v>8</v>
      </c>
      <c r="I8" s="5" t="n">
        <v>360</v>
      </c>
      <c r="J8" s="5" t="n">
        <v>0</v>
      </c>
      <c r="K8" s="5" t="n">
        <v>0</v>
      </c>
      <c r="L8" s="5" t="n">
        <v>360</v>
      </c>
      <c r="M8" s="5" t="n">
        <v>4320</v>
      </c>
      <c r="N8" s="5" t="n">
        <v>216</v>
      </c>
      <c r="O8" s="5" t="n">
        <v>0</v>
      </c>
      <c r="P8" s="5" t="n">
        <v>0</v>
      </c>
      <c r="Q8" s="5" t="n">
        <v>4536</v>
      </c>
      <c r="R8" s="5" t="n">
        <v>690</v>
      </c>
      <c r="S8" s="5" t="n">
        <v>414</v>
      </c>
      <c r="T8" s="5" t="n">
        <v>468</v>
      </c>
      <c r="U8" s="6"/>
      <c r="V8" s="3" t="s">
        <v>30</v>
      </c>
    </row>
    <row r="9" customFormat="false" ht="15" hidden="false" customHeight="true" outlineLevel="0" collapsed="false">
      <c r="A9" s="3" t="n">
        <v>7</v>
      </c>
      <c r="B9" s="4" t="s">
        <v>36</v>
      </c>
      <c r="C9" s="4" t="s">
        <v>26</v>
      </c>
      <c r="D9" s="3" t="s">
        <v>27</v>
      </c>
      <c r="E9" s="3" t="s">
        <v>28</v>
      </c>
      <c r="F9" s="3" t="s">
        <v>29</v>
      </c>
      <c r="G9" s="5" t="n">
        <v>12.5</v>
      </c>
      <c r="H9" s="5" t="n">
        <v>8</v>
      </c>
      <c r="I9" s="5" t="n">
        <v>360</v>
      </c>
      <c r="J9" s="5" t="n">
        <v>0</v>
      </c>
      <c r="K9" s="5" t="n">
        <v>0</v>
      </c>
      <c r="L9" s="5" t="n">
        <v>360</v>
      </c>
      <c r="M9" s="5" t="n">
        <v>4500</v>
      </c>
      <c r="N9" s="5" t="n">
        <v>225</v>
      </c>
      <c r="O9" s="5" t="n">
        <v>0</v>
      </c>
      <c r="P9" s="5" t="n">
        <v>0</v>
      </c>
      <c r="Q9" s="5" t="n">
        <v>4725</v>
      </c>
      <c r="R9" s="5" t="n">
        <v>690</v>
      </c>
      <c r="S9" s="5" t="n">
        <v>414</v>
      </c>
      <c r="T9" s="5" t="n">
        <v>468</v>
      </c>
      <c r="U9" s="6"/>
      <c r="V9" s="3" t="s">
        <v>30</v>
      </c>
    </row>
    <row r="10" customFormat="false" ht="15" hidden="false" customHeight="true" outlineLevel="0" collapsed="false">
      <c r="A10" s="3" t="n">
        <v>8</v>
      </c>
      <c r="B10" s="4" t="s">
        <v>37</v>
      </c>
      <c r="C10" s="4" t="s">
        <v>26</v>
      </c>
      <c r="D10" s="3" t="s">
        <v>27</v>
      </c>
      <c r="E10" s="3" t="s">
        <v>28</v>
      </c>
      <c r="F10" s="3" t="s">
        <v>29</v>
      </c>
      <c r="G10" s="5" t="n">
        <v>12.5</v>
      </c>
      <c r="H10" s="5" t="n">
        <v>8</v>
      </c>
      <c r="I10" s="5" t="n">
        <v>360</v>
      </c>
      <c r="J10" s="5" t="n">
        <v>0</v>
      </c>
      <c r="K10" s="5" t="n">
        <v>0</v>
      </c>
      <c r="L10" s="5" t="n">
        <v>360</v>
      </c>
      <c r="M10" s="5" t="n">
        <v>4500</v>
      </c>
      <c r="N10" s="5" t="n">
        <v>225</v>
      </c>
      <c r="O10" s="5" t="n">
        <v>0</v>
      </c>
      <c r="P10" s="5" t="n">
        <v>0</v>
      </c>
      <c r="Q10" s="5" t="n">
        <v>4725</v>
      </c>
      <c r="R10" s="5" t="n">
        <v>690</v>
      </c>
      <c r="S10" s="5" t="n">
        <v>414</v>
      </c>
      <c r="T10" s="5" t="n">
        <v>468</v>
      </c>
      <c r="U10" s="6"/>
      <c r="V10" s="3" t="s">
        <v>30</v>
      </c>
    </row>
    <row r="11" customFormat="false" ht="15" hidden="false" customHeight="true" outlineLevel="0" collapsed="false">
      <c r="A11" s="3" t="n">
        <v>9</v>
      </c>
      <c r="B11" s="4" t="s">
        <v>38</v>
      </c>
      <c r="C11" s="4" t="s">
        <v>39</v>
      </c>
      <c r="D11" s="3" t="s">
        <v>27</v>
      </c>
      <c r="E11" s="3" t="s">
        <v>28</v>
      </c>
      <c r="F11" s="3" t="s">
        <v>29</v>
      </c>
      <c r="G11" s="5" t="n">
        <v>98.25</v>
      </c>
      <c r="H11" s="5" t="n">
        <v>1</v>
      </c>
      <c r="I11" s="5" t="n">
        <v>250</v>
      </c>
      <c r="J11" s="5" t="n">
        <v>0</v>
      </c>
      <c r="K11" s="5" t="n">
        <v>0</v>
      </c>
      <c r="L11" s="5" t="n">
        <v>250</v>
      </c>
      <c r="M11" s="5" t="n">
        <v>24562.5</v>
      </c>
      <c r="N11" s="5" t="n">
        <v>1228.13</v>
      </c>
      <c r="O11" s="5" t="n">
        <v>0</v>
      </c>
      <c r="P11" s="5" t="n">
        <v>0</v>
      </c>
      <c r="Q11" s="5" t="n">
        <v>25790.63</v>
      </c>
      <c r="R11" s="5" t="n">
        <v>479.18</v>
      </c>
      <c r="S11" s="5" t="n">
        <v>287.5</v>
      </c>
      <c r="T11" s="5" t="n">
        <v>325</v>
      </c>
      <c r="U11" s="6"/>
      <c r="V11" s="3" t="s">
        <v>30</v>
      </c>
    </row>
    <row r="12" customFormat="false" ht="15" hidden="false" customHeight="true" outlineLevel="0" collapsed="false">
      <c r="A12" s="7" t="s">
        <v>40</v>
      </c>
      <c r="B12" s="7"/>
      <c r="C12" s="7"/>
      <c r="D12" s="7"/>
      <c r="E12" s="7"/>
      <c r="F12" s="7"/>
      <c r="G12" s="8" t="n">
        <f aca="false">SUM(G3:G11)</f>
        <v>195.25</v>
      </c>
      <c r="H12" s="8" t="n">
        <f aca="false">SUM(H3:H11)</f>
        <v>65</v>
      </c>
      <c r="I12" s="8" t="n">
        <f aca="false">AVERAGE(I3:I11)</f>
        <v>347.777777777778</v>
      </c>
      <c r="J12" s="8" t="n">
        <f aca="false">SUM(J3:J11)</f>
        <v>0</v>
      </c>
      <c r="K12" s="8" t="n">
        <f aca="false">SUM(K3:K11)</f>
        <v>0</v>
      </c>
      <c r="L12" s="8" t="n">
        <f aca="false">AVERAGE(L3:L11)</f>
        <v>347.777777777778</v>
      </c>
      <c r="M12" s="8" t="n">
        <f aca="false">SUM(M3:M11)</f>
        <v>59482.5</v>
      </c>
      <c r="N12" s="8" t="n">
        <f aca="false">SUM(N3:N11)</f>
        <v>2974.13</v>
      </c>
      <c r="O12" s="8" t="n">
        <f aca="false">SUM(O3:O11)</f>
        <v>0</v>
      </c>
      <c r="P12" s="8" t="n">
        <f aca="false">SUM(P3:P11)</f>
        <v>0</v>
      </c>
      <c r="Q12" s="8" t="n">
        <f aca="false">SUM(Q3:Q11)</f>
        <v>62456.63</v>
      </c>
      <c r="R12" s="8" t="n">
        <f aca="false">AVERAGE(R3:R11)</f>
        <v>666.575555555556</v>
      </c>
      <c r="S12" s="8" t="n">
        <f aca="false">AVERAGE(S3:S11)</f>
        <v>399.944444444444</v>
      </c>
      <c r="T12" s="8" t="n">
        <f aca="false">AVERAGE(T3:T11)</f>
        <v>452.111111111111</v>
      </c>
      <c r="U12" s="9"/>
      <c r="V12" s="9"/>
    </row>
    <row r="13" customFormat="false" ht="15" hidden="false" customHeight="true" outlineLevel="0" collapsed="false"/>
    <row r="14" customFormat="false" ht="21.75" hidden="false" customHeight="true" outlineLevel="0" collapsed="false">
      <c r="A14" s="10" t="s">
        <v>41</v>
      </c>
    </row>
    <row r="15" customFormat="false" ht="24" hidden="false" customHeight="true" outlineLevel="0" collapsed="false">
      <c r="A15" s="2" t="s">
        <v>0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8</v>
      </c>
      <c r="G15" s="2" t="s">
        <v>9</v>
      </c>
    </row>
    <row r="16" customFormat="false" ht="19.5" hidden="false" customHeight="true" outlineLevel="0" collapsed="false">
      <c r="A16" s="11" t="n">
        <v>1</v>
      </c>
      <c r="B16" s="11" t="n">
        <v>1</v>
      </c>
      <c r="C16" s="11" t="str">
        <f aca="false">C3</f>
        <v>4-F-W BDR</v>
      </c>
      <c r="D16" s="12" t="n">
        <f aca="false">SUM(G3:G10)</f>
        <v>97</v>
      </c>
      <c r="E16" s="12" t="n">
        <f aca="false">SUM(M3:M10)</f>
        <v>34920</v>
      </c>
      <c r="F16" s="12" t="n">
        <f aca="false">ROUND(E16*5%,2)</f>
        <v>1746</v>
      </c>
      <c r="G16" s="12" t="n">
        <f aca="false">E16+F16</f>
        <v>36666</v>
      </c>
    </row>
    <row r="17" customFormat="false" ht="19.5" hidden="false" customHeight="true" outlineLevel="0" collapsed="false">
      <c r="A17" s="11" t="n">
        <v>2</v>
      </c>
      <c r="B17" s="11" t="n">
        <v>2</v>
      </c>
      <c r="C17" s="11" t="str">
        <f aca="false">C11</f>
        <v>4-VNS</v>
      </c>
      <c r="D17" s="12" t="n">
        <f aca="false">SUM(G11:G11)</f>
        <v>98.25</v>
      </c>
      <c r="E17" s="12" t="n">
        <f aca="false">SUM(M11:M11)</f>
        <v>24562.5</v>
      </c>
      <c r="F17" s="12" t="n">
        <f aca="false">ROUND(E17*5%,2)</f>
        <v>1228.13</v>
      </c>
      <c r="G17" s="12" t="n">
        <f aca="false">E17+F17</f>
        <v>25790.63</v>
      </c>
    </row>
    <row r="18" customFormat="false" ht="19.5" hidden="false" customHeight="true" outlineLevel="0" collapsed="false">
      <c r="A18" s="13" t="s">
        <v>40</v>
      </c>
      <c r="B18" s="14"/>
      <c r="C18" s="14"/>
      <c r="D18" s="15" t="n">
        <f aca="false">SUM(D16:D17)</f>
        <v>195.25</v>
      </c>
      <c r="E18" s="15" t="n">
        <f aca="false">SUM(E16:E17)</f>
        <v>59482.5</v>
      </c>
      <c r="F18" s="15" t="n">
        <f aca="false">SUM(F16:F17)</f>
        <v>2974.13</v>
      </c>
      <c r="G18" s="15" t="n">
        <f aca="false">SUM(G16:G17)</f>
        <v>62456.63</v>
      </c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2026-09-10T06:54:43Z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