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Purchase Invoice Details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7" i="1" l="1"/>
  <c r="P7" i="1"/>
  <c r="O7" i="1"/>
  <c r="N7" i="1"/>
  <c r="M7" i="1"/>
  <c r="G7" i="1"/>
</calcChain>
</file>

<file path=xl/sharedStrings.xml><?xml version="1.0" encoding="utf-8"?>
<sst xmlns="http://schemas.openxmlformats.org/spreadsheetml/2006/main" count="63" uniqueCount="43">
  <si>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</si>
  <si>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</si>
  <si>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</si>
  <si>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</si>
  <si>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</si>
  <si>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</si>
  <si>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</si>
  <si>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</si>
  <si>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</si>
  <si>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</si>
  <si>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</si>
  <si>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</si>
  <si>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</si>
  <si>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</si>
  <si>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</si>
  <si>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</si>
  <si>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</si>
  <si>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</si>
  <si>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</si>
  <si>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</si>
  <si>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</si>
  <si>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</si>
  <si>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</si>
  <si>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</si>
  <si>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</si>
  <si>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8A2209</t>
  </si>
  <si>
    <t>SRB</t>
  </si>
  <si>
    <t>540710</t>
  </si>
  <si>
    <t>GST 5 %</t>
  </si>
  <si>
    <t>Pc(s)</t>
  </si>
  <si>
    <t>8A2210</t>
  </si>
  <si>
    <t>8A2211</t>
  </si>
  <si>
    <t>8A2212</t>
  </si>
  <si>
    <t>Total</t>
  </si>
  <si>
    <t>Item Summary</t>
  </si>
  <si>
    <t>Bill Sl No.</t>
  </si>
  <si>
    <t>Item Name</t>
  </si>
  <si>
    <t>QTY</t>
  </si>
  <si>
    <t>Before GST Amount</t>
  </si>
  <si>
    <t>1</t>
  </si>
  <si>
    <t>2</t>
  </si>
  <si>
    <t>2A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</si>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</sst>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1"/>
      <color rgb="FF000000"/>
      <name val="Calibri"/>
      <charset val="1"/>
    </font>
    <font>
      <b/>
      <sz val="12"/>
      <color rgb="FF1F4E7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2F5597"/>
        <bgColor rgb="FF1F4E79"/>
      </patternFill>
    </fill>
    <fill>
      <patternFill patternType="solid">
        <fgColor rgb="FFD9E1F2"/>
        <bgColor rgb="FFD3D3D3"/>
      </patternFill>
    </fill>
    <fill>
      <patternFill patternType="solid">
        <fgColor rgb="FF1F4E79"/>
        <bgColor rgb="FF1F4E78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4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4" fontId="4" fillId="4" borderId="2" xfId="0" applyNumberFormat="1" applyFont="1" applyFill="1" applyBorder="1" applyAlignment="1">
      <alignment horizontal="right"/>
    </xf>
    <xf numFmtId="0" fontId="4" fillId="4" borderId="2" xfId="0" applyFont="1" applyFill="1" applyBorder="1"/>
    <xf numFmtId="0" fontId="5" fillId="0" borderId="0" xfId="0" applyFont="1" applyAlignment="1">
      <alignment horizontal="left" vertical="center"/>
    </xf>
    <xf numFmtId="0" fontId="6" fillId="5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4" fontId="7" fillId="0" borderId="3" xfId="0" applyNumberFormat="1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tabSelected="1" zoomScaleNormal="100" workbookViewId="0">
      <selection sqref="A1:A2"/>
    </sheetView>
  </sheetViews>
  <sheetFormatPr defaultColWidth="8.6640625" defaultRowHeight="14.4" x14ac:dyDescent="0.3"/>
  <cols>
    <col min="1" max="6" width="11" customWidth="1"/>
    <col min="7" max="8" width="14" customWidth="1"/>
    <col min="9" max="9" width="16" customWidth="1"/>
    <col min="10" max="11" width="11" customWidth="1"/>
    <col min="12" max="12" width="13" customWidth="1"/>
    <col min="13" max="17" width="14" customWidth="1"/>
    <col min="18" max="22" width="11" customWidth="1"/>
  </cols>
  <sheetData>
    <row r="1" spans="1:22" x14ac:dyDescent="0.3">
      <c r="A1" s="2" t="s">
        <v>0</v>
      </c>
      <c r="B1" s="2" t="s">
        <v>1</v>
      </c>
      <c r="C1" s="2"/>
      <c r="D1" s="2"/>
      <c r="E1" s="2"/>
      <c r="F1" s="2"/>
      <c r="G1" s="2" t="s">
        <v>2</v>
      </c>
      <c r="H1" s="2" t="s">
        <v>3</v>
      </c>
      <c r="I1" s="2" t="s">
        <v>4</v>
      </c>
      <c r="J1" s="2" t="s">
        <v>5</v>
      </c>
      <c r="K1" s="2"/>
      <c r="L1" s="2" t="s">
        <v>6</v>
      </c>
      <c r="M1" s="2" t="s">
        <v>7</v>
      </c>
      <c r="N1" s="2" t="s">
        <v>8</v>
      </c>
      <c r="O1" s="2"/>
      <c r="P1" s="2"/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</row>
    <row r="2" spans="1:22" x14ac:dyDescent="0.3">
      <c r="A2" s="2"/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2"/>
      <c r="H2" s="2"/>
      <c r="I2" s="2"/>
      <c r="J2" s="3" t="s">
        <v>20</v>
      </c>
      <c r="K2" s="3" t="s">
        <v>21</v>
      </c>
      <c r="L2" s="2"/>
      <c r="M2" s="2"/>
      <c r="N2" s="3" t="s">
        <v>22</v>
      </c>
      <c r="O2" s="3" t="s">
        <v>23</v>
      </c>
      <c r="P2" s="3" t="s">
        <v>24</v>
      </c>
      <c r="Q2" s="2"/>
      <c r="R2" s="2"/>
      <c r="S2" s="2"/>
      <c r="T2" s="2"/>
      <c r="U2" s="2"/>
      <c r="V2" s="2"/>
    </row>
    <row r="3" spans="1:22" x14ac:dyDescent="0.3">
      <c r="A3" s="4">
        <v>1</v>
      </c>
      <c r="B3" s="4" t="s">
        <v>25</v>
      </c>
      <c r="C3" s="5" t="s">
        <v>26</v>
      </c>
      <c r="D3" s="4" t="s">
        <v>27</v>
      </c>
      <c r="E3" s="4" t="s">
        <v>28</v>
      </c>
      <c r="F3" s="4" t="s">
        <v>29</v>
      </c>
      <c r="G3" s="6">
        <v>277</v>
      </c>
      <c r="H3" s="7"/>
      <c r="I3" s="6">
        <v>122.96</v>
      </c>
      <c r="J3" s="6">
        <v>0</v>
      </c>
      <c r="K3" s="6">
        <v>0</v>
      </c>
      <c r="L3" s="6">
        <v>122.96</v>
      </c>
      <c r="M3" s="6">
        <v>34059.919999999998</v>
      </c>
      <c r="N3" s="6">
        <v>1703</v>
      </c>
      <c r="O3" s="6">
        <v>0</v>
      </c>
      <c r="P3" s="6">
        <v>0</v>
      </c>
      <c r="Q3" s="6">
        <v>35762.92</v>
      </c>
      <c r="R3" s="6">
        <v>290</v>
      </c>
      <c r="S3" s="6">
        <v>141.4</v>
      </c>
      <c r="T3" s="6">
        <v>159.85</v>
      </c>
      <c r="U3" s="4"/>
      <c r="V3" s="4"/>
    </row>
    <row r="4" spans="1:22" x14ac:dyDescent="0.3">
      <c r="A4" s="4">
        <v>2</v>
      </c>
      <c r="B4" s="4" t="s">
        <v>30</v>
      </c>
      <c r="C4" s="5" t="s">
        <v>26</v>
      </c>
      <c r="D4" s="4" t="s">
        <v>27</v>
      </c>
      <c r="E4" s="4" t="s">
        <v>28</v>
      </c>
      <c r="F4" s="4" t="s">
        <v>29</v>
      </c>
      <c r="G4" s="6">
        <v>21</v>
      </c>
      <c r="H4" s="8">
        <v>1</v>
      </c>
      <c r="I4" s="6">
        <v>135</v>
      </c>
      <c r="J4" s="6">
        <v>0</v>
      </c>
      <c r="K4" s="6">
        <v>0</v>
      </c>
      <c r="L4" s="6">
        <v>135</v>
      </c>
      <c r="M4" s="6">
        <v>2835</v>
      </c>
      <c r="N4" s="6">
        <v>141.75</v>
      </c>
      <c r="O4" s="6">
        <v>0</v>
      </c>
      <c r="P4" s="6">
        <v>0</v>
      </c>
      <c r="Q4" s="6">
        <v>2976.75</v>
      </c>
      <c r="R4" s="6">
        <v>295</v>
      </c>
      <c r="S4" s="6">
        <v>155.25</v>
      </c>
      <c r="T4" s="6">
        <v>175.5</v>
      </c>
      <c r="U4" s="4"/>
      <c r="V4" s="4"/>
    </row>
    <row r="5" spans="1:22" x14ac:dyDescent="0.3">
      <c r="A5" s="4">
        <v>3</v>
      </c>
      <c r="B5" s="4" t="s">
        <v>31</v>
      </c>
      <c r="C5" s="5" t="s">
        <v>26</v>
      </c>
      <c r="D5" s="4" t="s">
        <v>27</v>
      </c>
      <c r="E5" s="4" t="s">
        <v>28</v>
      </c>
      <c r="F5" s="4" t="s">
        <v>29</v>
      </c>
      <c r="G5" s="6">
        <v>300</v>
      </c>
      <c r="H5" s="7"/>
      <c r="I5" s="6">
        <v>125.67</v>
      </c>
      <c r="J5" s="6">
        <v>0</v>
      </c>
      <c r="K5" s="6">
        <v>0</v>
      </c>
      <c r="L5" s="6">
        <v>125.67</v>
      </c>
      <c r="M5" s="6">
        <v>37701</v>
      </c>
      <c r="N5" s="6">
        <v>1885.05</v>
      </c>
      <c r="O5" s="6">
        <v>0</v>
      </c>
      <c r="P5" s="6">
        <v>0</v>
      </c>
      <c r="Q5" s="6">
        <v>39586.050000000003</v>
      </c>
      <c r="R5" s="6">
        <v>210</v>
      </c>
      <c r="S5" s="6">
        <v>144.52000000000001</v>
      </c>
      <c r="T5" s="6">
        <v>163.37</v>
      </c>
      <c r="U5" s="4"/>
      <c r="V5" s="4"/>
    </row>
    <row r="6" spans="1:22" x14ac:dyDescent="0.3">
      <c r="A6" s="4">
        <v>4</v>
      </c>
      <c r="B6" s="4" t="s">
        <v>32</v>
      </c>
      <c r="C6" s="5" t="s">
        <v>26</v>
      </c>
      <c r="D6" s="4" t="s">
        <v>27</v>
      </c>
      <c r="E6" s="4" t="s">
        <v>28</v>
      </c>
      <c r="F6" s="4" t="s">
        <v>29</v>
      </c>
      <c r="G6" s="6">
        <v>51</v>
      </c>
      <c r="H6" s="7"/>
      <c r="I6" s="6">
        <v>125.67</v>
      </c>
      <c r="J6" s="6">
        <v>0</v>
      </c>
      <c r="K6" s="6">
        <v>0</v>
      </c>
      <c r="L6" s="6">
        <v>125.67</v>
      </c>
      <c r="M6" s="6">
        <v>6409.17</v>
      </c>
      <c r="N6" s="6">
        <v>320.45999999999998</v>
      </c>
      <c r="O6" s="6">
        <v>0</v>
      </c>
      <c r="P6" s="6">
        <v>0</v>
      </c>
      <c r="Q6" s="6">
        <v>6729.63</v>
      </c>
      <c r="R6" s="6">
        <v>295</v>
      </c>
      <c r="S6" s="6">
        <v>144.52000000000001</v>
      </c>
      <c r="T6" s="6">
        <v>163.37</v>
      </c>
      <c r="U6" s="4"/>
      <c r="V6" s="4"/>
    </row>
    <row r="7" spans="1:22" x14ac:dyDescent="0.3">
      <c r="A7" s="1" t="s">
        <v>33</v>
      </c>
      <c r="B7" s="1"/>
      <c r="C7" s="1"/>
      <c r="D7" s="1"/>
      <c r="E7" s="1"/>
      <c r="F7" s="1"/>
      <c r="G7" s="9">
        <f>SUM(G3:G6)</f>
        <v>649</v>
      </c>
      <c r="H7" s="10"/>
      <c r="I7" s="10"/>
      <c r="J7" s="10"/>
      <c r="K7" s="10"/>
      <c r="L7" s="10"/>
      <c r="M7" s="9">
        <f>SUM(M3:M6)</f>
        <v>81005.09</v>
      </c>
      <c r="N7" s="9">
        <f>SUM(N3:N6)</f>
        <v>4050.26</v>
      </c>
      <c r="O7" s="9">
        <f>SUM(O3:O6)</f>
        <v>0</v>
      </c>
      <c r="P7" s="9">
        <f>SUM(P3:P6)</f>
        <v>0</v>
      </c>
      <c r="Q7" s="9">
        <f>SUM(Q3:Q6)</f>
        <v>85055.35</v>
      </c>
      <c r="R7" s="10"/>
      <c r="S7" s="10"/>
      <c r="T7" s="10"/>
      <c r="U7" s="10"/>
      <c r="V7" s="10"/>
    </row>
    <row r="10" spans="1:22" ht="15.6" x14ac:dyDescent="0.3">
      <c r="A10" s="11" t="s">
        <v>34</v>
      </c>
    </row>
    <row r="11" spans="1:22" ht="30" customHeight="1" x14ac:dyDescent="0.3">
      <c r="A11" s="12" t="s">
        <v>0</v>
      </c>
      <c r="B11" s="12" t="s">
        <v>35</v>
      </c>
      <c r="C11" s="12" t="s">
        <v>36</v>
      </c>
      <c r="D11" s="12" t="s">
        <v>37</v>
      </c>
      <c r="E11" s="12" t="s">
        <v>38</v>
      </c>
      <c r="F11" s="12" t="s">
        <v>8</v>
      </c>
      <c r="G11" s="12" t="s">
        <v>9</v>
      </c>
    </row>
    <row r="12" spans="1:22" ht="18" customHeight="1" x14ac:dyDescent="0.3">
      <c r="A12" s="13">
        <v>1</v>
      </c>
      <c r="B12" s="13" t="s">
        <v>39</v>
      </c>
      <c r="C12" s="14" t="s">
        <v>26</v>
      </c>
      <c r="D12" s="15">
        <v>277</v>
      </c>
      <c r="E12" s="15">
        <v>34059.919999999998</v>
      </c>
      <c r="F12" s="15">
        <v>1703</v>
      </c>
      <c r="G12" s="15">
        <v>35762.92</v>
      </c>
    </row>
    <row r="13" spans="1:22" ht="18" customHeight="1" x14ac:dyDescent="0.3">
      <c r="A13" s="13">
        <v>2</v>
      </c>
      <c r="B13" s="13" t="s">
        <v>40</v>
      </c>
      <c r="C13" s="14" t="s">
        <v>26</v>
      </c>
      <c r="D13" s="15">
        <v>21</v>
      </c>
      <c r="E13" s="15">
        <v>2835</v>
      </c>
      <c r="F13" s="15">
        <v>141.75</v>
      </c>
      <c r="G13" s="15">
        <v>2976.75</v>
      </c>
    </row>
    <row r="14" spans="1:22" ht="18" customHeight="1" x14ac:dyDescent="0.3">
      <c r="A14" s="13">
        <v>3</v>
      </c>
      <c r="B14" s="13" t="s">
        <v>41</v>
      </c>
      <c r="C14" s="14" t="s">
        <v>26</v>
      </c>
      <c r="D14" s="15">
        <v>300</v>
      </c>
      <c r="E14" s="15">
        <v>37701</v>
      </c>
      <c r="F14" s="15">
        <v>1885.05</v>
      </c>
      <c r="G14" s="15">
        <v>39586.050000000003</v>
      </c>
    </row>
    <row r="15" spans="1:22" ht="18" customHeight="1" x14ac:dyDescent="0.3">
      <c r="A15" s="13">
        <v>4</v>
      </c>
      <c r="B15" s="13" t="s">
        <v>42</v>
      </c>
      <c r="C15" s="14" t="s">
        <v>26</v>
      </c>
      <c r="D15" s="15">
        <v>51</v>
      </c>
      <c r="E15" s="15">
        <v>6409.17</v>
      </c>
      <c r="F15" s="15">
        <v>320.45999999999998</v>
      </c>
      <c r="G15" s="15">
        <v>6729.63</v>
      </c>
    </row>
    <row r="16" spans="1:22" ht="18" customHeight="1" x14ac:dyDescent="0.3">
      <c r="A16" s="16" t="s">
        <v>33</v>
      </c>
      <c r="B16" s="16"/>
      <c r="C16" s="16"/>
      <c r="D16" s="16">
        <v>649</v>
      </c>
      <c r="E16" s="16">
        <v>81005.09</v>
      </c>
      <c r="F16" s="16">
        <v>4050.25</v>
      </c>
      <c r="G16" s="16">
        <v>85055.34</v>
      </c>
    </row>
  </sheetData>
  <mergeCells count="16">
    <mergeCell ref="A7:F7"/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Invoice 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2026-09-05T09:57:22Z</dcterms:created>
  <dcterms:modified xsi:type="dcterms:W3CDTF">2026-09-10T09:07:18Z</dcterms:modified>
  <dc:language>en-US</dc:language>
</cp:coreProperties>
</file>