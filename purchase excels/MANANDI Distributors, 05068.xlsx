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Sheet1!$A$1:$V$43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7" authorId="0">
      <text>
        <r>
          <rPr>
            <sz val="10"/>
            <rFont val="Arial"/>
            <family val="2"/>
          </rPr>
          <t xml:space="preserve">GST @ 5% total (CGST 2.5% + SGST 2.5%)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<sst xmlns="http://schemas.openxmlformats.org/spreadsheetml/2006/main" count="235" uniqueCount="75">
  <si>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</si>
  <si>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</si>
  <si>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</si>
  <si>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</si>
  <si>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</si>
  <si>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</si>
  <si>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</si>
  <si>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</si>
  <si>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</si>
  <si>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</si>
  <si>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</si>
  <si>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</si>
  <si>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</si>
  <si>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</si>
  <si>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</si>
  <si>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</si>
  <si>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</si>
  <si>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</si>
  <si>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</si>
  <si>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</si>
  <si>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</si>
  <si>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</si>
  <si>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</si>
  <si>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</si>
  <si>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</si>
  <si>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8A1492</t>
  </si>
  <si>
    <t xml:space="preserve">10-PFAB</t>
  </si>
  <si>
    <t xml:space="preserve">GST 5 %</t>
  </si>
  <si>
    <t xml:space="preserve">Mtr</t>
  </si>
  <si>
    <t xml:space="preserve">Edit</t>
  </si>
  <si>
    <t xml:space="preserve">8A1493</t>
  </si>
  <si>
    <t xml:space="preserve">8A1494</t>
  </si>
  <si>
    <t xml:space="preserve">8A1495</t>
  </si>
  <si>
    <t xml:space="preserve">8A1496</t>
  </si>
  <si>
    <t xml:space="preserve">8A1497</t>
  </si>
  <si>
    <t xml:space="preserve">8A1498</t>
  </si>
  <si>
    <t xml:space="preserve">8A1499</t>
  </si>
  <si>
    <t xml:space="preserve">8A1500</t>
  </si>
  <si>
    <t xml:space="preserve">8A1501</t>
  </si>
  <si>
    <t xml:space="preserve">8A1502</t>
  </si>
  <si>
    <t xml:space="preserve">8A1503</t>
  </si>
  <si>
    <t xml:space="preserve">8A1504</t>
  </si>
  <si>
    <t xml:space="preserve">8A1505</t>
  </si>
  <si>
    <t xml:space="preserve">8A1506</t>
  </si>
  <si>
    <t xml:space="preserve">8A1507</t>
  </si>
  <si>
    <t xml:space="preserve">8A1508</t>
  </si>
  <si>
    <t xml:space="preserve">8A1509</t>
  </si>
  <si>
    <t xml:space="preserve">8A1510</t>
  </si>
  <si>
    <t xml:space="preserve">8A1511</t>
  </si>
  <si>
    <t xml:space="preserve">8A1512</t>
  </si>
  <si>
    <t xml:space="preserve">8A1513</t>
  </si>
  <si>
    <t xml:space="preserve">8A1514</t>
  </si>
  <si>
    <t xml:space="preserve">8A1515</t>
  </si>
  <si>
    <t xml:space="preserve">8A1516</t>
  </si>
  <si>
    <t xml:space="preserve">8A1517</t>
  </si>
  <si>
    <t xml:space="preserve">8A1518</t>
  </si>
  <si>
    <t xml:space="preserve">8A1519</t>
  </si>
  <si>
    <t xml:space="preserve">8A1520</t>
  </si>
  <si>
    <t xml:space="preserve">8A1521</t>
  </si>
  <si>
    <t xml:space="preserve">8A1522</t>
  </si>
  <si>
    <t xml:space="preserve">8A1523</t>
  </si>
  <si>
    <t xml:space="preserve">8A1524</t>
  </si>
  <si>
    <t xml:space="preserve">8A1525</t>
  </si>
  <si>
    <t xml:space="preserve">8A1526</t>
  </si>
  <si>
    <t xml:space="preserve">8A1527</t>
  </si>
  <si>
    <t xml:space="preserve">8A1528</t>
  </si>
  <si>
    <t xml:space="preserve">8A1529</t>
  </si>
  <si>
    <t xml:space="preserve">8A1530</t>
  </si>
  <si>
    <t xml:space="preserve">8A1531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</si>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</sst>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366092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366092"/>
      </top>
      <bottom style="double">
        <color rgb="FF36609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0"/>
  <sheetViews>
    <sheetView showFormulas="false" showGridLines="false" showRowColHeaders="true" showZeros="true" rightToLeft="false" tabSelected="true" showOutlineSymbols="true" defaultGridColor="true" view="normal" topLeftCell="A6" colorId="64" zoomScale="100" zoomScaleNormal="100" zoomScalePageLayoutView="100" workbookViewId="0">
      <pane xSplit="0" ySplit="2" topLeftCell="A3" activePane="bottomLeft" state="frozen"/>
      <selection pane="topLeft" activeCell="A6" activeCellId="0" sqref="A6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2"/>
    <col collapsed="false" customWidth="true" hidden="false" outlineLevel="0" max="14" min="12" style="0" width="14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22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3" t="s">
        <v>25</v>
      </c>
      <c r="C3" s="4" t="s">
        <v>26</v>
      </c>
      <c r="D3" s="3" t="n">
        <v>500720</v>
      </c>
      <c r="E3" s="3" t="s">
        <v>27</v>
      </c>
      <c r="F3" s="3" t="s">
        <v>28</v>
      </c>
      <c r="G3" s="5" t="n">
        <v>7.75</v>
      </c>
      <c r="H3" s="6" t="n">
        <v>32</v>
      </c>
      <c r="I3" s="5" t="n">
        <v>88</v>
      </c>
      <c r="J3" s="5" t="n">
        <v>0</v>
      </c>
      <c r="K3" s="5" t="n">
        <v>0</v>
      </c>
      <c r="L3" s="5" t="n">
        <v>88</v>
      </c>
      <c r="M3" s="5" t="n">
        <v>682</v>
      </c>
      <c r="N3" s="5" t="n">
        <v>0</v>
      </c>
      <c r="O3" s="5" t="n">
        <v>17.05</v>
      </c>
      <c r="P3" s="5" t="n">
        <v>17.05</v>
      </c>
      <c r="Q3" s="5" t="n">
        <v>716.1</v>
      </c>
      <c r="R3" s="5" t="n">
        <v>195</v>
      </c>
      <c r="S3" s="5" t="n">
        <v>101.2</v>
      </c>
      <c r="T3" s="5" t="n">
        <v>114.4</v>
      </c>
      <c r="U3" s="3"/>
      <c r="V3" s="3" t="s">
        <v>29</v>
      </c>
    </row>
    <row r="4" customFormat="false" ht="15" hidden="false" customHeight="true" outlineLevel="0" collapsed="false">
      <c r="A4" s="7" t="n">
        <v>2</v>
      </c>
      <c r="B4" s="7" t="s">
        <v>30</v>
      </c>
      <c r="C4" s="8" t="s">
        <v>26</v>
      </c>
      <c r="D4" s="7" t="n">
        <v>500720</v>
      </c>
      <c r="E4" s="7" t="s">
        <v>27</v>
      </c>
      <c r="F4" s="7" t="s">
        <v>28</v>
      </c>
      <c r="G4" s="9" t="n">
        <v>7.9</v>
      </c>
      <c r="H4" s="10" t="n">
        <v>32</v>
      </c>
      <c r="I4" s="9" t="n">
        <v>88</v>
      </c>
      <c r="J4" s="9" t="n">
        <v>0</v>
      </c>
      <c r="K4" s="9" t="n">
        <v>0</v>
      </c>
      <c r="L4" s="9" t="n">
        <v>88</v>
      </c>
      <c r="M4" s="9" t="n">
        <v>695.2</v>
      </c>
      <c r="N4" s="9" t="n">
        <v>0</v>
      </c>
      <c r="O4" s="9" t="n">
        <v>17.38</v>
      </c>
      <c r="P4" s="9" t="n">
        <v>17.38</v>
      </c>
      <c r="Q4" s="9" t="n">
        <v>729.96</v>
      </c>
      <c r="R4" s="9" t="n">
        <v>195</v>
      </c>
      <c r="S4" s="9" t="n">
        <v>101.2</v>
      </c>
      <c r="T4" s="9" t="n">
        <v>114.4</v>
      </c>
      <c r="U4" s="7"/>
      <c r="V4" s="7" t="s">
        <v>29</v>
      </c>
    </row>
    <row r="5" customFormat="false" ht="15" hidden="false" customHeight="true" outlineLevel="0" collapsed="false">
      <c r="A5" s="3" t="n">
        <v>3</v>
      </c>
      <c r="B5" s="3" t="s">
        <v>31</v>
      </c>
      <c r="C5" s="4" t="s">
        <v>26</v>
      </c>
      <c r="D5" s="3" t="n">
        <v>500720</v>
      </c>
      <c r="E5" s="3" t="s">
        <v>27</v>
      </c>
      <c r="F5" s="3" t="s">
        <v>28</v>
      </c>
      <c r="G5" s="5" t="n">
        <v>8.3</v>
      </c>
      <c r="H5" s="6" t="n">
        <v>32</v>
      </c>
      <c r="I5" s="5" t="n">
        <v>88</v>
      </c>
      <c r="J5" s="5" t="n">
        <v>0</v>
      </c>
      <c r="K5" s="5" t="n">
        <v>0</v>
      </c>
      <c r="L5" s="5" t="n">
        <v>88</v>
      </c>
      <c r="M5" s="5" t="n">
        <v>730.4</v>
      </c>
      <c r="N5" s="5" t="n">
        <v>0</v>
      </c>
      <c r="O5" s="5" t="n">
        <v>18.26</v>
      </c>
      <c r="P5" s="5" t="n">
        <v>18.26</v>
      </c>
      <c r="Q5" s="5" t="n">
        <v>766.92</v>
      </c>
      <c r="R5" s="5" t="n">
        <v>195</v>
      </c>
      <c r="S5" s="5" t="n">
        <v>101.2</v>
      </c>
      <c r="T5" s="5" t="n">
        <v>114.4</v>
      </c>
      <c r="U5" s="3"/>
      <c r="V5" s="3" t="s">
        <v>29</v>
      </c>
    </row>
    <row r="6" customFormat="false" ht="15" hidden="false" customHeight="true" outlineLevel="0" collapsed="false">
      <c r="A6" s="7" t="n">
        <v>4</v>
      </c>
      <c r="B6" s="7" t="s">
        <v>32</v>
      </c>
      <c r="C6" s="8" t="s">
        <v>26</v>
      </c>
      <c r="D6" s="7" t="n">
        <v>500720</v>
      </c>
      <c r="E6" s="7" t="s">
        <v>27</v>
      </c>
      <c r="F6" s="7" t="s">
        <v>28</v>
      </c>
      <c r="G6" s="9" t="n">
        <v>8.6</v>
      </c>
      <c r="H6" s="10" t="n">
        <v>32</v>
      </c>
      <c r="I6" s="9" t="n">
        <v>88</v>
      </c>
      <c r="J6" s="9" t="n">
        <v>0</v>
      </c>
      <c r="K6" s="9" t="n">
        <v>0</v>
      </c>
      <c r="L6" s="9" t="n">
        <v>88</v>
      </c>
      <c r="M6" s="9" t="n">
        <v>756.8</v>
      </c>
      <c r="N6" s="9" t="n">
        <v>0</v>
      </c>
      <c r="O6" s="9" t="n">
        <v>18.92</v>
      </c>
      <c r="P6" s="9" t="n">
        <v>18.92</v>
      </c>
      <c r="Q6" s="9" t="n">
        <v>794.64</v>
      </c>
      <c r="R6" s="9" t="n">
        <v>195</v>
      </c>
      <c r="S6" s="9" t="n">
        <v>101.2</v>
      </c>
      <c r="T6" s="9" t="n">
        <v>114.4</v>
      </c>
      <c r="U6" s="7"/>
      <c r="V6" s="7" t="s">
        <v>29</v>
      </c>
    </row>
    <row r="7" customFormat="false" ht="15" hidden="false" customHeight="true" outlineLevel="0" collapsed="false">
      <c r="A7" s="3" t="n">
        <v>5</v>
      </c>
      <c r="B7" s="3" t="s">
        <v>33</v>
      </c>
      <c r="C7" s="4" t="s">
        <v>26</v>
      </c>
      <c r="D7" s="3" t="n">
        <v>500720</v>
      </c>
      <c r="E7" s="3" t="s">
        <v>27</v>
      </c>
      <c r="F7" s="3" t="s">
        <v>28</v>
      </c>
      <c r="G7" s="5" t="n">
        <v>9</v>
      </c>
      <c r="H7" s="6" t="n">
        <v>32</v>
      </c>
      <c r="I7" s="5" t="n">
        <v>88</v>
      </c>
      <c r="J7" s="5" t="n">
        <v>0</v>
      </c>
      <c r="K7" s="5" t="n">
        <v>0</v>
      </c>
      <c r="L7" s="5" t="n">
        <v>88</v>
      </c>
      <c r="M7" s="5" t="n">
        <v>792</v>
      </c>
      <c r="N7" s="5" t="n">
        <v>0</v>
      </c>
      <c r="O7" s="5" t="n">
        <v>19.8</v>
      </c>
      <c r="P7" s="5" t="n">
        <v>19.8</v>
      </c>
      <c r="Q7" s="5" t="n">
        <v>831.6</v>
      </c>
      <c r="R7" s="5" t="n">
        <v>195</v>
      </c>
      <c r="S7" s="5" t="n">
        <v>101.2</v>
      </c>
      <c r="T7" s="5" t="n">
        <v>114.4</v>
      </c>
      <c r="U7" s="3"/>
      <c r="V7" s="3" t="s">
        <v>29</v>
      </c>
    </row>
    <row r="8" customFormat="false" ht="15" hidden="false" customHeight="true" outlineLevel="0" collapsed="false">
      <c r="A8" s="7" t="n">
        <v>6</v>
      </c>
      <c r="B8" s="7" t="s">
        <v>34</v>
      </c>
      <c r="C8" s="8" t="s">
        <v>26</v>
      </c>
      <c r="D8" s="7" t="n">
        <v>500720</v>
      </c>
      <c r="E8" s="7" t="s">
        <v>27</v>
      </c>
      <c r="F8" s="7" t="s">
        <v>28</v>
      </c>
      <c r="G8" s="9" t="n">
        <v>9.7</v>
      </c>
      <c r="H8" s="10" t="n">
        <v>32</v>
      </c>
      <c r="I8" s="9" t="n">
        <v>88</v>
      </c>
      <c r="J8" s="9" t="n">
        <v>0</v>
      </c>
      <c r="K8" s="9" t="n">
        <v>0</v>
      </c>
      <c r="L8" s="9" t="n">
        <v>88</v>
      </c>
      <c r="M8" s="9" t="n">
        <v>853.6</v>
      </c>
      <c r="N8" s="9" t="n">
        <v>0</v>
      </c>
      <c r="O8" s="9" t="n">
        <v>21.34</v>
      </c>
      <c r="P8" s="9" t="n">
        <v>21.34</v>
      </c>
      <c r="Q8" s="9" t="n">
        <v>896.28</v>
      </c>
      <c r="R8" s="9" t="n">
        <v>195</v>
      </c>
      <c r="S8" s="9" t="n">
        <v>101.2</v>
      </c>
      <c r="T8" s="9" t="n">
        <v>114.4</v>
      </c>
      <c r="U8" s="7"/>
      <c r="V8" s="7" t="s">
        <v>29</v>
      </c>
    </row>
    <row r="9" customFormat="false" ht="15" hidden="false" customHeight="true" outlineLevel="0" collapsed="false">
      <c r="A9" s="3" t="n">
        <v>7</v>
      </c>
      <c r="B9" s="3" t="s">
        <v>35</v>
      </c>
      <c r="C9" s="4" t="s">
        <v>26</v>
      </c>
      <c r="D9" s="3" t="n">
        <v>500720</v>
      </c>
      <c r="E9" s="3" t="s">
        <v>27</v>
      </c>
      <c r="F9" s="3" t="s">
        <v>28</v>
      </c>
      <c r="G9" s="5" t="n">
        <v>10</v>
      </c>
      <c r="H9" s="6" t="n">
        <v>32</v>
      </c>
      <c r="I9" s="5" t="n">
        <v>88</v>
      </c>
      <c r="J9" s="5" t="n">
        <v>0</v>
      </c>
      <c r="K9" s="5" t="n">
        <v>0</v>
      </c>
      <c r="L9" s="5" t="n">
        <v>88</v>
      </c>
      <c r="M9" s="5" t="n">
        <v>880</v>
      </c>
      <c r="N9" s="5" t="n">
        <v>0</v>
      </c>
      <c r="O9" s="5" t="n">
        <v>22</v>
      </c>
      <c r="P9" s="5" t="n">
        <v>22</v>
      </c>
      <c r="Q9" s="5" t="n">
        <v>924</v>
      </c>
      <c r="R9" s="5" t="n">
        <v>195</v>
      </c>
      <c r="S9" s="5" t="n">
        <v>101.2</v>
      </c>
      <c r="T9" s="5" t="n">
        <v>114.4</v>
      </c>
      <c r="U9" s="3"/>
      <c r="V9" s="3" t="s">
        <v>29</v>
      </c>
    </row>
    <row r="10" customFormat="false" ht="15" hidden="false" customHeight="true" outlineLevel="0" collapsed="false">
      <c r="A10" s="7" t="n">
        <v>8</v>
      </c>
      <c r="B10" s="7" t="s">
        <v>36</v>
      </c>
      <c r="C10" s="8" t="s">
        <v>26</v>
      </c>
      <c r="D10" s="7" t="n">
        <v>500720</v>
      </c>
      <c r="E10" s="7" t="s">
        <v>27</v>
      </c>
      <c r="F10" s="7" t="s">
        <v>28</v>
      </c>
      <c r="G10" s="9" t="n">
        <v>10</v>
      </c>
      <c r="H10" s="10" t="n">
        <v>32</v>
      </c>
      <c r="I10" s="9" t="n">
        <v>88</v>
      </c>
      <c r="J10" s="9" t="n">
        <v>0</v>
      </c>
      <c r="K10" s="9" t="n">
        <v>0</v>
      </c>
      <c r="L10" s="9" t="n">
        <v>88</v>
      </c>
      <c r="M10" s="9" t="n">
        <v>880</v>
      </c>
      <c r="N10" s="9" t="n">
        <v>0</v>
      </c>
      <c r="O10" s="9" t="n">
        <v>22</v>
      </c>
      <c r="P10" s="9" t="n">
        <v>22</v>
      </c>
      <c r="Q10" s="9" t="n">
        <v>924</v>
      </c>
      <c r="R10" s="9" t="n">
        <v>195</v>
      </c>
      <c r="S10" s="9" t="n">
        <v>101.2</v>
      </c>
      <c r="T10" s="9" t="n">
        <v>114.4</v>
      </c>
      <c r="U10" s="7"/>
      <c r="V10" s="7" t="s">
        <v>29</v>
      </c>
    </row>
    <row r="11" customFormat="false" ht="15" hidden="false" customHeight="true" outlineLevel="0" collapsed="false">
      <c r="A11" s="3" t="n">
        <v>9</v>
      </c>
      <c r="B11" s="3" t="s">
        <v>37</v>
      </c>
      <c r="C11" s="4" t="s">
        <v>26</v>
      </c>
      <c r="D11" s="3" t="n">
        <v>500720</v>
      </c>
      <c r="E11" s="3" t="s">
        <v>27</v>
      </c>
      <c r="F11" s="3" t="s">
        <v>28</v>
      </c>
      <c r="G11" s="5" t="n">
        <v>10</v>
      </c>
      <c r="H11" s="6" t="n">
        <v>32</v>
      </c>
      <c r="I11" s="5" t="n">
        <v>88</v>
      </c>
      <c r="J11" s="5" t="n">
        <v>0</v>
      </c>
      <c r="K11" s="5" t="n">
        <v>0</v>
      </c>
      <c r="L11" s="5" t="n">
        <v>88</v>
      </c>
      <c r="M11" s="5" t="n">
        <v>880</v>
      </c>
      <c r="N11" s="5" t="n">
        <v>0</v>
      </c>
      <c r="O11" s="5" t="n">
        <v>22</v>
      </c>
      <c r="P11" s="5" t="n">
        <v>22</v>
      </c>
      <c r="Q11" s="5" t="n">
        <v>924</v>
      </c>
      <c r="R11" s="5" t="n">
        <v>195</v>
      </c>
      <c r="S11" s="5" t="n">
        <v>101.2</v>
      </c>
      <c r="T11" s="5" t="n">
        <v>114.4</v>
      </c>
      <c r="U11" s="3"/>
      <c r="V11" s="3" t="s">
        <v>29</v>
      </c>
    </row>
    <row r="12" customFormat="false" ht="15" hidden="false" customHeight="true" outlineLevel="0" collapsed="false">
      <c r="A12" s="7" t="n">
        <v>10</v>
      </c>
      <c r="B12" s="7" t="s">
        <v>38</v>
      </c>
      <c r="C12" s="8" t="s">
        <v>26</v>
      </c>
      <c r="D12" s="7" t="n">
        <v>500720</v>
      </c>
      <c r="E12" s="7" t="s">
        <v>27</v>
      </c>
      <c r="F12" s="7" t="s">
        <v>28</v>
      </c>
      <c r="G12" s="9" t="n">
        <v>10</v>
      </c>
      <c r="H12" s="10" t="n">
        <v>32</v>
      </c>
      <c r="I12" s="9" t="n">
        <v>88</v>
      </c>
      <c r="J12" s="9" t="n">
        <v>0</v>
      </c>
      <c r="K12" s="9" t="n">
        <v>0</v>
      </c>
      <c r="L12" s="9" t="n">
        <v>88</v>
      </c>
      <c r="M12" s="9" t="n">
        <v>880</v>
      </c>
      <c r="N12" s="9" t="n">
        <v>0</v>
      </c>
      <c r="O12" s="9" t="n">
        <v>22</v>
      </c>
      <c r="P12" s="9" t="n">
        <v>22</v>
      </c>
      <c r="Q12" s="9" t="n">
        <v>924</v>
      </c>
      <c r="R12" s="9" t="n">
        <v>195</v>
      </c>
      <c r="S12" s="9" t="n">
        <v>101.2</v>
      </c>
      <c r="T12" s="9" t="n">
        <v>114.4</v>
      </c>
      <c r="U12" s="7"/>
      <c r="V12" s="7" t="s">
        <v>29</v>
      </c>
    </row>
    <row r="13" customFormat="false" ht="15" hidden="false" customHeight="true" outlineLevel="0" collapsed="false">
      <c r="A13" s="3" t="n">
        <v>11</v>
      </c>
      <c r="B13" s="3" t="s">
        <v>39</v>
      </c>
      <c r="C13" s="4" t="s">
        <v>26</v>
      </c>
      <c r="D13" s="3" t="n">
        <v>500720</v>
      </c>
      <c r="E13" s="3" t="s">
        <v>27</v>
      </c>
      <c r="F13" s="3" t="s">
        <v>28</v>
      </c>
      <c r="G13" s="5" t="n">
        <v>10</v>
      </c>
      <c r="H13" s="6" t="n">
        <v>32</v>
      </c>
      <c r="I13" s="5" t="n">
        <v>88</v>
      </c>
      <c r="J13" s="5" t="n">
        <v>0</v>
      </c>
      <c r="K13" s="5" t="n">
        <v>0</v>
      </c>
      <c r="L13" s="5" t="n">
        <v>88</v>
      </c>
      <c r="M13" s="5" t="n">
        <v>880</v>
      </c>
      <c r="N13" s="5" t="n">
        <v>0</v>
      </c>
      <c r="O13" s="5" t="n">
        <v>22</v>
      </c>
      <c r="P13" s="5" t="n">
        <v>22</v>
      </c>
      <c r="Q13" s="5" t="n">
        <v>924</v>
      </c>
      <c r="R13" s="5" t="n">
        <v>195</v>
      </c>
      <c r="S13" s="5" t="n">
        <v>101.2</v>
      </c>
      <c r="T13" s="5" t="n">
        <v>114.4</v>
      </c>
      <c r="U13" s="3"/>
      <c r="V13" s="3" t="s">
        <v>29</v>
      </c>
    </row>
    <row r="14" customFormat="false" ht="15" hidden="false" customHeight="true" outlineLevel="0" collapsed="false">
      <c r="A14" s="7" t="n">
        <v>12</v>
      </c>
      <c r="B14" s="7" t="s">
        <v>40</v>
      </c>
      <c r="C14" s="8" t="s">
        <v>26</v>
      </c>
      <c r="D14" s="7" t="n">
        <v>500720</v>
      </c>
      <c r="E14" s="7" t="s">
        <v>27</v>
      </c>
      <c r="F14" s="7" t="s">
        <v>28</v>
      </c>
      <c r="G14" s="9" t="n">
        <v>10</v>
      </c>
      <c r="H14" s="10" t="n">
        <v>32</v>
      </c>
      <c r="I14" s="9" t="n">
        <v>88</v>
      </c>
      <c r="J14" s="9" t="n">
        <v>0</v>
      </c>
      <c r="K14" s="9" t="n">
        <v>0</v>
      </c>
      <c r="L14" s="9" t="n">
        <v>88</v>
      </c>
      <c r="M14" s="9" t="n">
        <v>880</v>
      </c>
      <c r="N14" s="9" t="n">
        <v>0</v>
      </c>
      <c r="O14" s="9" t="n">
        <v>22</v>
      </c>
      <c r="P14" s="9" t="n">
        <v>22</v>
      </c>
      <c r="Q14" s="9" t="n">
        <v>924</v>
      </c>
      <c r="R14" s="9" t="n">
        <v>195</v>
      </c>
      <c r="S14" s="9" t="n">
        <v>101.2</v>
      </c>
      <c r="T14" s="9" t="n">
        <v>114.4</v>
      </c>
      <c r="U14" s="7"/>
      <c r="V14" s="7" t="s">
        <v>29</v>
      </c>
    </row>
    <row r="15" customFormat="false" ht="15" hidden="false" customHeight="true" outlineLevel="0" collapsed="false">
      <c r="A15" s="3" t="n">
        <v>13</v>
      </c>
      <c r="B15" s="3" t="s">
        <v>41</v>
      </c>
      <c r="C15" s="4" t="s">
        <v>26</v>
      </c>
      <c r="D15" s="3" t="n">
        <v>500720</v>
      </c>
      <c r="E15" s="3" t="s">
        <v>27</v>
      </c>
      <c r="F15" s="3" t="s">
        <v>28</v>
      </c>
      <c r="G15" s="5" t="n">
        <v>10</v>
      </c>
      <c r="H15" s="6" t="n">
        <v>32</v>
      </c>
      <c r="I15" s="5" t="n">
        <v>88</v>
      </c>
      <c r="J15" s="5" t="n">
        <v>0</v>
      </c>
      <c r="K15" s="5" t="n">
        <v>0</v>
      </c>
      <c r="L15" s="5" t="n">
        <v>88</v>
      </c>
      <c r="M15" s="5" t="n">
        <v>880</v>
      </c>
      <c r="N15" s="5" t="n">
        <v>0</v>
      </c>
      <c r="O15" s="5" t="n">
        <v>22</v>
      </c>
      <c r="P15" s="5" t="n">
        <v>22</v>
      </c>
      <c r="Q15" s="5" t="n">
        <v>924</v>
      </c>
      <c r="R15" s="5" t="n">
        <v>195</v>
      </c>
      <c r="S15" s="5" t="n">
        <v>101.2</v>
      </c>
      <c r="T15" s="5" t="n">
        <v>114.4</v>
      </c>
      <c r="U15" s="3"/>
      <c r="V15" s="3" t="s">
        <v>29</v>
      </c>
    </row>
    <row r="16" customFormat="false" ht="15" hidden="false" customHeight="true" outlineLevel="0" collapsed="false">
      <c r="A16" s="7" t="n">
        <v>14</v>
      </c>
      <c r="B16" s="7" t="s">
        <v>42</v>
      </c>
      <c r="C16" s="8" t="s">
        <v>26</v>
      </c>
      <c r="D16" s="7" t="n">
        <v>500720</v>
      </c>
      <c r="E16" s="7" t="s">
        <v>27</v>
      </c>
      <c r="F16" s="7" t="s">
        <v>28</v>
      </c>
      <c r="G16" s="9" t="n">
        <v>10</v>
      </c>
      <c r="H16" s="10" t="n">
        <v>32</v>
      </c>
      <c r="I16" s="9" t="n">
        <v>88</v>
      </c>
      <c r="J16" s="9" t="n">
        <v>0</v>
      </c>
      <c r="K16" s="9" t="n">
        <v>0</v>
      </c>
      <c r="L16" s="9" t="n">
        <v>88</v>
      </c>
      <c r="M16" s="9" t="n">
        <v>880</v>
      </c>
      <c r="N16" s="9" t="n">
        <v>0</v>
      </c>
      <c r="O16" s="9" t="n">
        <v>22</v>
      </c>
      <c r="P16" s="9" t="n">
        <v>22</v>
      </c>
      <c r="Q16" s="9" t="n">
        <v>924</v>
      </c>
      <c r="R16" s="9" t="n">
        <v>195</v>
      </c>
      <c r="S16" s="9" t="n">
        <v>101.2</v>
      </c>
      <c r="T16" s="9" t="n">
        <v>114.4</v>
      </c>
      <c r="U16" s="7"/>
      <c r="V16" s="7" t="s">
        <v>29</v>
      </c>
    </row>
    <row r="17" customFormat="false" ht="15" hidden="false" customHeight="true" outlineLevel="0" collapsed="false">
      <c r="A17" s="3" t="n">
        <v>15</v>
      </c>
      <c r="B17" s="3" t="s">
        <v>43</v>
      </c>
      <c r="C17" s="4" t="s">
        <v>26</v>
      </c>
      <c r="D17" s="3" t="n">
        <v>500720</v>
      </c>
      <c r="E17" s="3" t="s">
        <v>27</v>
      </c>
      <c r="F17" s="3" t="s">
        <v>28</v>
      </c>
      <c r="G17" s="5" t="n">
        <v>10</v>
      </c>
      <c r="H17" s="6" t="n">
        <v>32</v>
      </c>
      <c r="I17" s="5" t="n">
        <v>88</v>
      </c>
      <c r="J17" s="5" t="n">
        <v>0</v>
      </c>
      <c r="K17" s="5" t="n">
        <v>0</v>
      </c>
      <c r="L17" s="5" t="n">
        <v>88</v>
      </c>
      <c r="M17" s="5" t="n">
        <v>880</v>
      </c>
      <c r="N17" s="5" t="n">
        <v>0</v>
      </c>
      <c r="O17" s="5" t="n">
        <v>22</v>
      </c>
      <c r="P17" s="5" t="n">
        <v>22</v>
      </c>
      <c r="Q17" s="5" t="n">
        <v>924</v>
      </c>
      <c r="R17" s="5" t="n">
        <v>195</v>
      </c>
      <c r="S17" s="5" t="n">
        <v>101.2</v>
      </c>
      <c r="T17" s="5" t="n">
        <v>114.4</v>
      </c>
      <c r="U17" s="3"/>
      <c r="V17" s="3" t="s">
        <v>29</v>
      </c>
    </row>
    <row r="18" customFormat="false" ht="15" hidden="false" customHeight="true" outlineLevel="0" collapsed="false">
      <c r="A18" s="7" t="n">
        <v>16</v>
      </c>
      <c r="B18" s="7" t="s">
        <v>44</v>
      </c>
      <c r="C18" s="8" t="s">
        <v>26</v>
      </c>
      <c r="D18" s="7" t="n">
        <v>500720</v>
      </c>
      <c r="E18" s="7" t="s">
        <v>27</v>
      </c>
      <c r="F18" s="7" t="s">
        <v>28</v>
      </c>
      <c r="G18" s="9" t="n">
        <v>10</v>
      </c>
      <c r="H18" s="10" t="n">
        <v>32</v>
      </c>
      <c r="I18" s="9" t="n">
        <v>88</v>
      </c>
      <c r="J18" s="9" t="n">
        <v>0</v>
      </c>
      <c r="K18" s="9" t="n">
        <v>0</v>
      </c>
      <c r="L18" s="9" t="n">
        <v>88</v>
      </c>
      <c r="M18" s="9" t="n">
        <v>880</v>
      </c>
      <c r="N18" s="9" t="n">
        <v>0</v>
      </c>
      <c r="O18" s="9" t="n">
        <v>22</v>
      </c>
      <c r="P18" s="9" t="n">
        <v>22</v>
      </c>
      <c r="Q18" s="9" t="n">
        <v>924</v>
      </c>
      <c r="R18" s="9" t="n">
        <v>195</v>
      </c>
      <c r="S18" s="9" t="n">
        <v>101.2</v>
      </c>
      <c r="T18" s="9" t="n">
        <v>114.4</v>
      </c>
      <c r="U18" s="7"/>
      <c r="V18" s="7" t="s">
        <v>29</v>
      </c>
    </row>
    <row r="19" customFormat="false" ht="15" hidden="false" customHeight="true" outlineLevel="0" collapsed="false">
      <c r="A19" s="3" t="n">
        <v>17</v>
      </c>
      <c r="B19" s="3" t="s">
        <v>45</v>
      </c>
      <c r="C19" s="4" t="s">
        <v>26</v>
      </c>
      <c r="D19" s="3" t="n">
        <v>500720</v>
      </c>
      <c r="E19" s="3" t="s">
        <v>27</v>
      </c>
      <c r="F19" s="3" t="s">
        <v>28</v>
      </c>
      <c r="G19" s="5" t="n">
        <v>10</v>
      </c>
      <c r="H19" s="6" t="n">
        <v>32</v>
      </c>
      <c r="I19" s="5" t="n">
        <v>88</v>
      </c>
      <c r="J19" s="5" t="n">
        <v>0</v>
      </c>
      <c r="K19" s="5" t="n">
        <v>0</v>
      </c>
      <c r="L19" s="5" t="n">
        <v>88</v>
      </c>
      <c r="M19" s="5" t="n">
        <v>880</v>
      </c>
      <c r="N19" s="5" t="n">
        <v>0</v>
      </c>
      <c r="O19" s="5" t="n">
        <v>22</v>
      </c>
      <c r="P19" s="5" t="n">
        <v>22</v>
      </c>
      <c r="Q19" s="5" t="n">
        <v>924</v>
      </c>
      <c r="R19" s="5" t="n">
        <v>195</v>
      </c>
      <c r="S19" s="5" t="n">
        <v>101.2</v>
      </c>
      <c r="T19" s="5" t="n">
        <v>114.4</v>
      </c>
      <c r="U19" s="3"/>
      <c r="V19" s="3" t="s">
        <v>29</v>
      </c>
    </row>
    <row r="20" customFormat="false" ht="15" hidden="false" customHeight="true" outlineLevel="0" collapsed="false">
      <c r="A20" s="7" t="n">
        <v>18</v>
      </c>
      <c r="B20" s="7" t="s">
        <v>46</v>
      </c>
      <c r="C20" s="8" t="s">
        <v>26</v>
      </c>
      <c r="D20" s="7" t="n">
        <v>500720</v>
      </c>
      <c r="E20" s="7" t="s">
        <v>27</v>
      </c>
      <c r="F20" s="7" t="s">
        <v>28</v>
      </c>
      <c r="G20" s="9" t="n">
        <v>10</v>
      </c>
      <c r="H20" s="10" t="n">
        <v>32</v>
      </c>
      <c r="I20" s="9" t="n">
        <v>88</v>
      </c>
      <c r="J20" s="9" t="n">
        <v>0</v>
      </c>
      <c r="K20" s="9" t="n">
        <v>0</v>
      </c>
      <c r="L20" s="9" t="n">
        <v>88</v>
      </c>
      <c r="M20" s="9" t="n">
        <v>880</v>
      </c>
      <c r="N20" s="9" t="n">
        <v>0</v>
      </c>
      <c r="O20" s="9" t="n">
        <v>22</v>
      </c>
      <c r="P20" s="9" t="n">
        <v>22</v>
      </c>
      <c r="Q20" s="9" t="n">
        <v>924</v>
      </c>
      <c r="R20" s="9" t="n">
        <v>195</v>
      </c>
      <c r="S20" s="9" t="n">
        <v>101.2</v>
      </c>
      <c r="T20" s="9" t="n">
        <v>114.4</v>
      </c>
      <c r="U20" s="7"/>
      <c r="V20" s="7" t="s">
        <v>29</v>
      </c>
    </row>
    <row r="21" customFormat="false" ht="15" hidden="false" customHeight="true" outlineLevel="0" collapsed="false">
      <c r="A21" s="3" t="n">
        <v>19</v>
      </c>
      <c r="B21" s="3" t="s">
        <v>47</v>
      </c>
      <c r="C21" s="4" t="s">
        <v>26</v>
      </c>
      <c r="D21" s="3" t="n">
        <v>500720</v>
      </c>
      <c r="E21" s="3" t="s">
        <v>27</v>
      </c>
      <c r="F21" s="3" t="s">
        <v>28</v>
      </c>
      <c r="G21" s="5" t="n">
        <v>10</v>
      </c>
      <c r="H21" s="6" t="n">
        <v>32</v>
      </c>
      <c r="I21" s="5" t="n">
        <v>88</v>
      </c>
      <c r="J21" s="5" t="n">
        <v>0</v>
      </c>
      <c r="K21" s="5" t="n">
        <v>0</v>
      </c>
      <c r="L21" s="5" t="n">
        <v>88</v>
      </c>
      <c r="M21" s="5" t="n">
        <v>880</v>
      </c>
      <c r="N21" s="5" t="n">
        <v>0</v>
      </c>
      <c r="O21" s="5" t="n">
        <v>22</v>
      </c>
      <c r="P21" s="5" t="n">
        <v>22</v>
      </c>
      <c r="Q21" s="5" t="n">
        <v>924</v>
      </c>
      <c r="R21" s="5" t="n">
        <v>195</v>
      </c>
      <c r="S21" s="5" t="n">
        <v>101.2</v>
      </c>
      <c r="T21" s="5" t="n">
        <v>114.4</v>
      </c>
      <c r="U21" s="3"/>
      <c r="V21" s="3" t="s">
        <v>29</v>
      </c>
    </row>
    <row r="22" customFormat="false" ht="15" hidden="false" customHeight="true" outlineLevel="0" collapsed="false">
      <c r="A22" s="7" t="n">
        <v>20</v>
      </c>
      <c r="B22" s="7" t="s">
        <v>48</v>
      </c>
      <c r="C22" s="8" t="s">
        <v>26</v>
      </c>
      <c r="D22" s="7" t="n">
        <v>500720</v>
      </c>
      <c r="E22" s="7" t="s">
        <v>27</v>
      </c>
      <c r="F22" s="7" t="s">
        <v>28</v>
      </c>
      <c r="G22" s="9" t="n">
        <v>10</v>
      </c>
      <c r="H22" s="10" t="n">
        <v>32</v>
      </c>
      <c r="I22" s="9" t="n">
        <v>88</v>
      </c>
      <c r="J22" s="9" t="n">
        <v>0</v>
      </c>
      <c r="K22" s="9" t="n">
        <v>0</v>
      </c>
      <c r="L22" s="9" t="n">
        <v>88</v>
      </c>
      <c r="M22" s="9" t="n">
        <v>880</v>
      </c>
      <c r="N22" s="9" t="n">
        <v>0</v>
      </c>
      <c r="O22" s="9" t="n">
        <v>22</v>
      </c>
      <c r="P22" s="9" t="n">
        <v>22</v>
      </c>
      <c r="Q22" s="9" t="n">
        <v>924</v>
      </c>
      <c r="R22" s="9" t="n">
        <v>195</v>
      </c>
      <c r="S22" s="9" t="n">
        <v>101.2</v>
      </c>
      <c r="T22" s="9" t="n">
        <v>114.4</v>
      </c>
      <c r="U22" s="7"/>
      <c r="V22" s="7" t="s">
        <v>29</v>
      </c>
    </row>
    <row r="23" customFormat="false" ht="15" hidden="false" customHeight="true" outlineLevel="0" collapsed="false">
      <c r="A23" s="3" t="n">
        <v>21</v>
      </c>
      <c r="B23" s="3" t="s">
        <v>49</v>
      </c>
      <c r="C23" s="4" t="s">
        <v>26</v>
      </c>
      <c r="D23" s="3" t="n">
        <v>500720</v>
      </c>
      <c r="E23" s="3" t="s">
        <v>27</v>
      </c>
      <c r="F23" s="3" t="s">
        <v>28</v>
      </c>
      <c r="G23" s="5" t="n">
        <v>10.3</v>
      </c>
      <c r="H23" s="6" t="n">
        <v>32</v>
      </c>
      <c r="I23" s="5" t="n">
        <v>88</v>
      </c>
      <c r="J23" s="5" t="n">
        <v>0</v>
      </c>
      <c r="K23" s="5" t="n">
        <v>0</v>
      </c>
      <c r="L23" s="5" t="n">
        <v>88</v>
      </c>
      <c r="M23" s="5" t="n">
        <v>906.4</v>
      </c>
      <c r="N23" s="5" t="n">
        <v>0</v>
      </c>
      <c r="O23" s="5" t="n">
        <v>22.66</v>
      </c>
      <c r="P23" s="5" t="n">
        <v>22.66</v>
      </c>
      <c r="Q23" s="5" t="n">
        <v>951.72</v>
      </c>
      <c r="R23" s="5" t="n">
        <v>195</v>
      </c>
      <c r="S23" s="5" t="n">
        <v>101.2</v>
      </c>
      <c r="T23" s="5" t="n">
        <v>114.4</v>
      </c>
      <c r="U23" s="3"/>
      <c r="V23" s="3" t="s">
        <v>29</v>
      </c>
    </row>
    <row r="24" customFormat="false" ht="15" hidden="false" customHeight="true" outlineLevel="0" collapsed="false">
      <c r="A24" s="7" t="n">
        <v>22</v>
      </c>
      <c r="B24" s="7" t="s">
        <v>50</v>
      </c>
      <c r="C24" s="8" t="s">
        <v>26</v>
      </c>
      <c r="D24" s="7" t="n">
        <v>500720</v>
      </c>
      <c r="E24" s="7" t="s">
        <v>27</v>
      </c>
      <c r="F24" s="7" t="s">
        <v>28</v>
      </c>
      <c r="G24" s="9" t="n">
        <v>11</v>
      </c>
      <c r="H24" s="10" t="n">
        <v>32</v>
      </c>
      <c r="I24" s="9" t="n">
        <v>88</v>
      </c>
      <c r="J24" s="9" t="n">
        <v>0</v>
      </c>
      <c r="K24" s="9" t="n">
        <v>0</v>
      </c>
      <c r="L24" s="9" t="n">
        <v>88</v>
      </c>
      <c r="M24" s="9" t="n">
        <v>968</v>
      </c>
      <c r="N24" s="9" t="n">
        <v>0</v>
      </c>
      <c r="O24" s="9" t="n">
        <v>24.2</v>
      </c>
      <c r="P24" s="9" t="n">
        <v>24.2</v>
      </c>
      <c r="Q24" s="9" t="n">
        <v>1016.4</v>
      </c>
      <c r="R24" s="9" t="n">
        <v>195</v>
      </c>
      <c r="S24" s="9" t="n">
        <v>101.2</v>
      </c>
      <c r="T24" s="9" t="n">
        <v>114.4</v>
      </c>
      <c r="U24" s="7"/>
      <c r="V24" s="7" t="s">
        <v>29</v>
      </c>
    </row>
    <row r="25" customFormat="false" ht="15" hidden="false" customHeight="true" outlineLevel="0" collapsed="false">
      <c r="A25" s="3" t="n">
        <v>23</v>
      </c>
      <c r="B25" s="3" t="s">
        <v>51</v>
      </c>
      <c r="C25" s="4" t="s">
        <v>26</v>
      </c>
      <c r="D25" s="3" t="n">
        <v>500720</v>
      </c>
      <c r="E25" s="3" t="s">
        <v>27</v>
      </c>
      <c r="F25" s="3" t="s">
        <v>28</v>
      </c>
      <c r="G25" s="5" t="n">
        <v>11.3</v>
      </c>
      <c r="H25" s="6" t="n">
        <v>32</v>
      </c>
      <c r="I25" s="5" t="n">
        <v>88</v>
      </c>
      <c r="J25" s="5" t="n">
        <v>0</v>
      </c>
      <c r="K25" s="5" t="n">
        <v>0</v>
      </c>
      <c r="L25" s="5" t="n">
        <v>88</v>
      </c>
      <c r="M25" s="5" t="n">
        <v>994.4</v>
      </c>
      <c r="N25" s="5" t="n">
        <v>0</v>
      </c>
      <c r="O25" s="5" t="n">
        <v>24.86</v>
      </c>
      <c r="P25" s="5" t="n">
        <v>24.86</v>
      </c>
      <c r="Q25" s="5" t="n">
        <v>1044.12</v>
      </c>
      <c r="R25" s="5" t="n">
        <v>195</v>
      </c>
      <c r="S25" s="5" t="n">
        <v>101.2</v>
      </c>
      <c r="T25" s="5" t="n">
        <v>114.4</v>
      </c>
      <c r="U25" s="3"/>
      <c r="V25" s="3" t="s">
        <v>29</v>
      </c>
    </row>
    <row r="26" customFormat="false" ht="15" hidden="false" customHeight="true" outlineLevel="0" collapsed="false">
      <c r="A26" s="7" t="n">
        <v>24</v>
      </c>
      <c r="B26" s="7" t="s">
        <v>52</v>
      </c>
      <c r="C26" s="8" t="s">
        <v>26</v>
      </c>
      <c r="D26" s="7" t="n">
        <v>500720</v>
      </c>
      <c r="E26" s="7" t="s">
        <v>27</v>
      </c>
      <c r="F26" s="7" t="s">
        <v>28</v>
      </c>
      <c r="G26" s="9" t="n">
        <v>11.5</v>
      </c>
      <c r="H26" s="10" t="n">
        <v>32</v>
      </c>
      <c r="I26" s="9" t="n">
        <v>88</v>
      </c>
      <c r="J26" s="9" t="n">
        <v>0</v>
      </c>
      <c r="K26" s="9" t="n">
        <v>0</v>
      </c>
      <c r="L26" s="9" t="n">
        <v>88</v>
      </c>
      <c r="M26" s="9" t="n">
        <v>1012</v>
      </c>
      <c r="N26" s="9" t="n">
        <v>0</v>
      </c>
      <c r="O26" s="9" t="n">
        <v>25.3</v>
      </c>
      <c r="P26" s="9" t="n">
        <v>25.3</v>
      </c>
      <c r="Q26" s="9" t="n">
        <v>1062.6</v>
      </c>
      <c r="R26" s="9" t="n">
        <v>195</v>
      </c>
      <c r="S26" s="9" t="n">
        <v>101.2</v>
      </c>
      <c r="T26" s="9" t="n">
        <v>114.4</v>
      </c>
      <c r="U26" s="7"/>
      <c r="V26" s="7" t="s">
        <v>29</v>
      </c>
    </row>
    <row r="27" customFormat="false" ht="15" hidden="false" customHeight="true" outlineLevel="0" collapsed="false">
      <c r="A27" s="3" t="n">
        <v>25</v>
      </c>
      <c r="B27" s="3" t="s">
        <v>53</v>
      </c>
      <c r="C27" s="4" t="s">
        <v>26</v>
      </c>
      <c r="D27" s="3" t="n">
        <v>500720</v>
      </c>
      <c r="E27" s="3" t="s">
        <v>27</v>
      </c>
      <c r="F27" s="3" t="s">
        <v>28</v>
      </c>
      <c r="G27" s="5" t="n">
        <v>12</v>
      </c>
      <c r="H27" s="6" t="n">
        <v>32</v>
      </c>
      <c r="I27" s="5" t="n">
        <v>88</v>
      </c>
      <c r="J27" s="5" t="n">
        <v>0</v>
      </c>
      <c r="K27" s="5" t="n">
        <v>0</v>
      </c>
      <c r="L27" s="5" t="n">
        <v>88</v>
      </c>
      <c r="M27" s="5" t="n">
        <v>1056</v>
      </c>
      <c r="N27" s="5" t="n">
        <v>0</v>
      </c>
      <c r="O27" s="5" t="n">
        <v>26.4</v>
      </c>
      <c r="P27" s="5" t="n">
        <v>26.4</v>
      </c>
      <c r="Q27" s="5" t="n">
        <v>1108.8</v>
      </c>
      <c r="R27" s="5" t="n">
        <v>195</v>
      </c>
      <c r="S27" s="5" t="n">
        <v>101.2</v>
      </c>
      <c r="T27" s="5" t="n">
        <v>114.4</v>
      </c>
      <c r="U27" s="3"/>
      <c r="V27" s="3" t="s">
        <v>29</v>
      </c>
    </row>
    <row r="28" customFormat="false" ht="15" hidden="false" customHeight="true" outlineLevel="0" collapsed="false">
      <c r="A28" s="7" t="n">
        <v>26</v>
      </c>
      <c r="B28" s="7" t="s">
        <v>54</v>
      </c>
      <c r="C28" s="8" t="s">
        <v>26</v>
      </c>
      <c r="D28" s="7" t="n">
        <v>500720</v>
      </c>
      <c r="E28" s="7" t="s">
        <v>27</v>
      </c>
      <c r="F28" s="7" t="s">
        <v>28</v>
      </c>
      <c r="G28" s="9" t="n">
        <v>12</v>
      </c>
      <c r="H28" s="10" t="n">
        <v>32</v>
      </c>
      <c r="I28" s="9" t="n">
        <v>88</v>
      </c>
      <c r="J28" s="9" t="n">
        <v>0</v>
      </c>
      <c r="K28" s="9" t="n">
        <v>0</v>
      </c>
      <c r="L28" s="9" t="n">
        <v>88</v>
      </c>
      <c r="M28" s="9" t="n">
        <v>1056</v>
      </c>
      <c r="N28" s="9" t="n">
        <v>0</v>
      </c>
      <c r="O28" s="9" t="n">
        <v>26.4</v>
      </c>
      <c r="P28" s="9" t="n">
        <v>26.4</v>
      </c>
      <c r="Q28" s="9" t="n">
        <v>1108.8</v>
      </c>
      <c r="R28" s="9" t="n">
        <v>195</v>
      </c>
      <c r="S28" s="9" t="n">
        <v>101.2</v>
      </c>
      <c r="T28" s="9" t="n">
        <v>114.4</v>
      </c>
      <c r="U28" s="7"/>
      <c r="V28" s="7" t="s">
        <v>29</v>
      </c>
    </row>
    <row r="29" customFormat="false" ht="15" hidden="false" customHeight="true" outlineLevel="0" collapsed="false">
      <c r="A29" s="3" t="n">
        <v>27</v>
      </c>
      <c r="B29" s="3" t="s">
        <v>55</v>
      </c>
      <c r="C29" s="4" t="s">
        <v>26</v>
      </c>
      <c r="D29" s="3" t="n">
        <v>500720</v>
      </c>
      <c r="E29" s="3" t="s">
        <v>27</v>
      </c>
      <c r="F29" s="3" t="s">
        <v>28</v>
      </c>
      <c r="G29" s="5" t="n">
        <v>12</v>
      </c>
      <c r="H29" s="6" t="n">
        <v>32</v>
      </c>
      <c r="I29" s="5" t="n">
        <v>88</v>
      </c>
      <c r="J29" s="5" t="n">
        <v>0</v>
      </c>
      <c r="K29" s="5" t="n">
        <v>0</v>
      </c>
      <c r="L29" s="5" t="n">
        <v>88</v>
      </c>
      <c r="M29" s="5" t="n">
        <v>1056</v>
      </c>
      <c r="N29" s="5" t="n">
        <v>0</v>
      </c>
      <c r="O29" s="5" t="n">
        <v>26.4</v>
      </c>
      <c r="P29" s="5" t="n">
        <v>26.4</v>
      </c>
      <c r="Q29" s="5" t="n">
        <v>1108.8</v>
      </c>
      <c r="R29" s="5" t="n">
        <v>195</v>
      </c>
      <c r="S29" s="5" t="n">
        <v>101.2</v>
      </c>
      <c r="T29" s="5" t="n">
        <v>114.4</v>
      </c>
      <c r="U29" s="3"/>
      <c r="V29" s="3" t="s">
        <v>29</v>
      </c>
    </row>
    <row r="30" customFormat="false" ht="15" hidden="false" customHeight="true" outlineLevel="0" collapsed="false">
      <c r="A30" s="7" t="n">
        <v>28</v>
      </c>
      <c r="B30" s="7" t="s">
        <v>56</v>
      </c>
      <c r="C30" s="8" t="s">
        <v>26</v>
      </c>
      <c r="D30" s="7" t="n">
        <v>500720</v>
      </c>
      <c r="E30" s="7" t="s">
        <v>27</v>
      </c>
      <c r="F30" s="7" t="s">
        <v>28</v>
      </c>
      <c r="G30" s="9" t="n">
        <v>12</v>
      </c>
      <c r="H30" s="10" t="n">
        <v>32</v>
      </c>
      <c r="I30" s="9" t="n">
        <v>88</v>
      </c>
      <c r="J30" s="9" t="n">
        <v>0</v>
      </c>
      <c r="K30" s="9" t="n">
        <v>0</v>
      </c>
      <c r="L30" s="9" t="n">
        <v>88</v>
      </c>
      <c r="M30" s="9" t="n">
        <v>1056</v>
      </c>
      <c r="N30" s="9" t="n">
        <v>0</v>
      </c>
      <c r="O30" s="9" t="n">
        <v>26.4</v>
      </c>
      <c r="P30" s="9" t="n">
        <v>26.4</v>
      </c>
      <c r="Q30" s="9" t="n">
        <v>1108.8</v>
      </c>
      <c r="R30" s="9" t="n">
        <v>195</v>
      </c>
      <c r="S30" s="9" t="n">
        <v>101.2</v>
      </c>
      <c r="T30" s="9" t="n">
        <v>114.4</v>
      </c>
      <c r="U30" s="7"/>
      <c r="V30" s="7" t="s">
        <v>29</v>
      </c>
    </row>
    <row r="31" customFormat="false" ht="15" hidden="false" customHeight="true" outlineLevel="0" collapsed="false">
      <c r="A31" s="3" t="n">
        <v>29</v>
      </c>
      <c r="B31" s="3" t="s">
        <v>57</v>
      </c>
      <c r="C31" s="4" t="s">
        <v>26</v>
      </c>
      <c r="D31" s="3" t="n">
        <v>500720</v>
      </c>
      <c r="E31" s="3" t="s">
        <v>27</v>
      </c>
      <c r="F31" s="3" t="s">
        <v>28</v>
      </c>
      <c r="G31" s="5" t="n">
        <v>13.5</v>
      </c>
      <c r="H31" s="6" t="n">
        <v>32</v>
      </c>
      <c r="I31" s="5" t="n">
        <v>88</v>
      </c>
      <c r="J31" s="5" t="n">
        <v>0</v>
      </c>
      <c r="K31" s="5" t="n">
        <v>0</v>
      </c>
      <c r="L31" s="5" t="n">
        <v>88</v>
      </c>
      <c r="M31" s="5" t="n">
        <v>1188</v>
      </c>
      <c r="N31" s="5" t="n">
        <v>0</v>
      </c>
      <c r="O31" s="5" t="n">
        <v>29.7</v>
      </c>
      <c r="P31" s="5" t="n">
        <v>29.7</v>
      </c>
      <c r="Q31" s="5" t="n">
        <v>1247.4</v>
      </c>
      <c r="R31" s="5" t="n">
        <v>195</v>
      </c>
      <c r="S31" s="5" t="n">
        <v>101.2</v>
      </c>
      <c r="T31" s="5" t="n">
        <v>114.4</v>
      </c>
      <c r="U31" s="3"/>
      <c r="V31" s="3" t="s">
        <v>29</v>
      </c>
    </row>
    <row r="32" customFormat="false" ht="15" hidden="false" customHeight="true" outlineLevel="0" collapsed="false">
      <c r="A32" s="7" t="n">
        <v>30</v>
      </c>
      <c r="B32" s="7" t="s">
        <v>58</v>
      </c>
      <c r="C32" s="8" t="s">
        <v>26</v>
      </c>
      <c r="D32" s="7" t="n">
        <v>500720</v>
      </c>
      <c r="E32" s="7" t="s">
        <v>27</v>
      </c>
      <c r="F32" s="7" t="s">
        <v>28</v>
      </c>
      <c r="G32" s="9" t="n">
        <v>14</v>
      </c>
      <c r="H32" s="10" t="n">
        <v>32</v>
      </c>
      <c r="I32" s="9" t="n">
        <v>88</v>
      </c>
      <c r="J32" s="9" t="n">
        <v>0</v>
      </c>
      <c r="K32" s="9" t="n">
        <v>0</v>
      </c>
      <c r="L32" s="9" t="n">
        <v>88</v>
      </c>
      <c r="M32" s="9" t="n">
        <v>1232</v>
      </c>
      <c r="N32" s="9" t="n">
        <v>0</v>
      </c>
      <c r="O32" s="9" t="n">
        <v>30.8</v>
      </c>
      <c r="P32" s="9" t="n">
        <v>30.8</v>
      </c>
      <c r="Q32" s="9" t="n">
        <v>1293.6</v>
      </c>
      <c r="R32" s="9" t="n">
        <v>195</v>
      </c>
      <c r="S32" s="9" t="n">
        <v>101.2</v>
      </c>
      <c r="T32" s="9" t="n">
        <v>114.4</v>
      </c>
      <c r="U32" s="7"/>
      <c r="V32" s="7" t="s">
        <v>29</v>
      </c>
    </row>
    <row r="33" customFormat="false" ht="15" hidden="false" customHeight="true" outlineLevel="0" collapsed="false">
      <c r="A33" s="3" t="n">
        <v>31</v>
      </c>
      <c r="B33" s="3" t="s">
        <v>59</v>
      </c>
      <c r="C33" s="4" t="s">
        <v>26</v>
      </c>
      <c r="D33" s="3" t="n">
        <v>500720</v>
      </c>
      <c r="E33" s="3" t="s">
        <v>27</v>
      </c>
      <c r="F33" s="3" t="s">
        <v>28</v>
      </c>
      <c r="G33" s="5" t="n">
        <v>14.7</v>
      </c>
      <c r="H33" s="6" t="n">
        <v>32</v>
      </c>
      <c r="I33" s="5" t="n">
        <v>88</v>
      </c>
      <c r="J33" s="5" t="n">
        <v>0</v>
      </c>
      <c r="K33" s="5" t="n">
        <v>0</v>
      </c>
      <c r="L33" s="5" t="n">
        <v>88</v>
      </c>
      <c r="M33" s="5" t="n">
        <v>1293.6</v>
      </c>
      <c r="N33" s="5" t="n">
        <v>0</v>
      </c>
      <c r="O33" s="5" t="n">
        <v>32.34</v>
      </c>
      <c r="P33" s="5" t="n">
        <v>32.34</v>
      </c>
      <c r="Q33" s="5" t="n">
        <v>1358.28</v>
      </c>
      <c r="R33" s="5" t="n">
        <v>195</v>
      </c>
      <c r="S33" s="5" t="n">
        <v>101.2</v>
      </c>
      <c r="T33" s="5" t="n">
        <v>114.4</v>
      </c>
      <c r="U33" s="3"/>
      <c r="V33" s="3" t="s">
        <v>29</v>
      </c>
    </row>
    <row r="34" customFormat="false" ht="15" hidden="false" customHeight="true" outlineLevel="0" collapsed="false">
      <c r="A34" s="7" t="n">
        <v>32</v>
      </c>
      <c r="B34" s="7" t="s">
        <v>60</v>
      </c>
      <c r="C34" s="8" t="s">
        <v>26</v>
      </c>
      <c r="D34" s="7" t="n">
        <v>500720</v>
      </c>
      <c r="E34" s="7" t="s">
        <v>27</v>
      </c>
      <c r="F34" s="7" t="s">
        <v>28</v>
      </c>
      <c r="G34" s="9" t="n">
        <v>15</v>
      </c>
      <c r="H34" s="10" t="n">
        <v>32</v>
      </c>
      <c r="I34" s="9" t="n">
        <v>88</v>
      </c>
      <c r="J34" s="9" t="n">
        <v>0</v>
      </c>
      <c r="K34" s="9" t="n">
        <v>0</v>
      </c>
      <c r="L34" s="9" t="n">
        <v>88</v>
      </c>
      <c r="M34" s="9" t="n">
        <v>1320</v>
      </c>
      <c r="N34" s="9" t="n">
        <v>0</v>
      </c>
      <c r="O34" s="9" t="n">
        <v>33</v>
      </c>
      <c r="P34" s="9" t="n">
        <v>33</v>
      </c>
      <c r="Q34" s="9" t="n">
        <v>1386</v>
      </c>
      <c r="R34" s="9" t="n">
        <v>195</v>
      </c>
      <c r="S34" s="9" t="n">
        <v>101.2</v>
      </c>
      <c r="T34" s="9" t="n">
        <v>114.4</v>
      </c>
      <c r="U34" s="7"/>
      <c r="V34" s="7" t="s">
        <v>29</v>
      </c>
    </row>
    <row r="35" customFormat="false" ht="15" hidden="false" customHeight="true" outlineLevel="0" collapsed="false">
      <c r="A35" s="3" t="n">
        <v>33</v>
      </c>
      <c r="B35" s="3" t="s">
        <v>61</v>
      </c>
      <c r="C35" s="4" t="s">
        <v>26</v>
      </c>
      <c r="D35" s="3" t="n">
        <v>500720</v>
      </c>
      <c r="E35" s="3" t="s">
        <v>27</v>
      </c>
      <c r="F35" s="3" t="s">
        <v>28</v>
      </c>
      <c r="G35" s="5" t="n">
        <v>12.3</v>
      </c>
      <c r="H35" s="6" t="n">
        <v>6</v>
      </c>
      <c r="I35" s="5" t="n">
        <v>92</v>
      </c>
      <c r="J35" s="5" t="n">
        <v>0</v>
      </c>
      <c r="K35" s="5" t="n">
        <v>0</v>
      </c>
      <c r="L35" s="5" t="n">
        <v>92</v>
      </c>
      <c r="M35" s="5" t="n">
        <v>1131.6</v>
      </c>
      <c r="N35" s="5" t="n">
        <v>0</v>
      </c>
      <c r="O35" s="5" t="n">
        <v>28.29</v>
      </c>
      <c r="P35" s="5" t="n">
        <v>28.29</v>
      </c>
      <c r="Q35" s="5" t="n">
        <v>1188.18</v>
      </c>
      <c r="R35" s="5" t="n">
        <v>195</v>
      </c>
      <c r="S35" s="5" t="n">
        <v>105.8</v>
      </c>
      <c r="T35" s="5" t="n">
        <v>119.6</v>
      </c>
      <c r="U35" s="3"/>
      <c r="V35" s="3" t="s">
        <v>29</v>
      </c>
    </row>
    <row r="36" customFormat="false" ht="15" hidden="false" customHeight="true" outlineLevel="0" collapsed="false">
      <c r="A36" s="7" t="n">
        <v>34</v>
      </c>
      <c r="B36" s="7" t="s">
        <v>62</v>
      </c>
      <c r="C36" s="8" t="s">
        <v>26</v>
      </c>
      <c r="D36" s="7" t="n">
        <v>500720</v>
      </c>
      <c r="E36" s="7" t="s">
        <v>27</v>
      </c>
      <c r="F36" s="7" t="s">
        <v>28</v>
      </c>
      <c r="G36" s="9" t="n">
        <v>13</v>
      </c>
      <c r="H36" s="10" t="n">
        <v>6</v>
      </c>
      <c r="I36" s="9" t="n">
        <v>92</v>
      </c>
      <c r="J36" s="9" t="n">
        <v>0</v>
      </c>
      <c r="K36" s="9" t="n">
        <v>0</v>
      </c>
      <c r="L36" s="9" t="n">
        <v>92</v>
      </c>
      <c r="M36" s="9" t="n">
        <v>1196</v>
      </c>
      <c r="N36" s="9" t="n">
        <v>0</v>
      </c>
      <c r="O36" s="9" t="n">
        <v>29.9</v>
      </c>
      <c r="P36" s="9" t="n">
        <v>29.9</v>
      </c>
      <c r="Q36" s="9" t="n">
        <v>1255.8</v>
      </c>
      <c r="R36" s="9" t="n">
        <v>195</v>
      </c>
      <c r="S36" s="9" t="n">
        <v>105.8</v>
      </c>
      <c r="T36" s="9" t="n">
        <v>119.6</v>
      </c>
      <c r="U36" s="7"/>
      <c r="V36" s="7" t="s">
        <v>29</v>
      </c>
    </row>
    <row r="37" customFormat="false" ht="15" hidden="false" customHeight="true" outlineLevel="0" collapsed="false">
      <c r="A37" s="3" t="n">
        <v>35</v>
      </c>
      <c r="B37" s="3" t="s">
        <v>63</v>
      </c>
      <c r="C37" s="4" t="s">
        <v>26</v>
      </c>
      <c r="D37" s="3" t="n">
        <v>500720</v>
      </c>
      <c r="E37" s="3" t="s">
        <v>27</v>
      </c>
      <c r="F37" s="3" t="s">
        <v>28</v>
      </c>
      <c r="G37" s="5" t="n">
        <v>13.1</v>
      </c>
      <c r="H37" s="6" t="n">
        <v>6</v>
      </c>
      <c r="I37" s="5" t="n">
        <v>92</v>
      </c>
      <c r="J37" s="5" t="n">
        <v>0</v>
      </c>
      <c r="K37" s="5" t="n">
        <v>0</v>
      </c>
      <c r="L37" s="5" t="n">
        <v>92</v>
      </c>
      <c r="M37" s="5" t="n">
        <v>1205.2</v>
      </c>
      <c r="N37" s="5" t="n">
        <v>0</v>
      </c>
      <c r="O37" s="5" t="n">
        <v>30.13</v>
      </c>
      <c r="P37" s="5" t="n">
        <v>30.13</v>
      </c>
      <c r="Q37" s="5" t="n">
        <v>1265.46</v>
      </c>
      <c r="R37" s="5" t="n">
        <v>195</v>
      </c>
      <c r="S37" s="5" t="n">
        <v>105.8</v>
      </c>
      <c r="T37" s="5" t="n">
        <v>119.6</v>
      </c>
      <c r="U37" s="3"/>
      <c r="V37" s="3" t="s">
        <v>29</v>
      </c>
    </row>
    <row r="38" customFormat="false" ht="15" hidden="false" customHeight="true" outlineLevel="0" collapsed="false">
      <c r="A38" s="7" t="n">
        <v>36</v>
      </c>
      <c r="B38" s="7" t="s">
        <v>64</v>
      </c>
      <c r="C38" s="8" t="s">
        <v>26</v>
      </c>
      <c r="D38" s="7" t="n">
        <v>500720</v>
      </c>
      <c r="E38" s="7" t="s">
        <v>27</v>
      </c>
      <c r="F38" s="7" t="s">
        <v>28</v>
      </c>
      <c r="G38" s="9" t="n">
        <v>13.1</v>
      </c>
      <c r="H38" s="10" t="n">
        <v>6</v>
      </c>
      <c r="I38" s="9" t="n">
        <v>92</v>
      </c>
      <c r="J38" s="9" t="n">
        <v>0</v>
      </c>
      <c r="K38" s="9" t="n">
        <v>0</v>
      </c>
      <c r="L38" s="9" t="n">
        <v>92</v>
      </c>
      <c r="M38" s="9" t="n">
        <v>1205.2</v>
      </c>
      <c r="N38" s="9" t="n">
        <v>0</v>
      </c>
      <c r="O38" s="9" t="n">
        <v>30.13</v>
      </c>
      <c r="P38" s="9" t="n">
        <v>30.13</v>
      </c>
      <c r="Q38" s="9" t="n">
        <v>1265.46</v>
      </c>
      <c r="R38" s="9" t="n">
        <v>195</v>
      </c>
      <c r="S38" s="9" t="n">
        <v>105.8</v>
      </c>
      <c r="T38" s="9" t="n">
        <v>119.6</v>
      </c>
      <c r="U38" s="7"/>
      <c r="V38" s="7" t="s">
        <v>29</v>
      </c>
    </row>
    <row r="39" customFormat="false" ht="15" hidden="false" customHeight="true" outlineLevel="0" collapsed="false">
      <c r="A39" s="3" t="n">
        <v>37</v>
      </c>
      <c r="B39" s="3" t="s">
        <v>65</v>
      </c>
      <c r="C39" s="4" t="s">
        <v>26</v>
      </c>
      <c r="D39" s="3" t="n">
        <v>500720</v>
      </c>
      <c r="E39" s="3" t="s">
        <v>27</v>
      </c>
      <c r="F39" s="3" t="s">
        <v>28</v>
      </c>
      <c r="G39" s="5" t="n">
        <v>13.5</v>
      </c>
      <c r="H39" s="6" t="n">
        <v>6</v>
      </c>
      <c r="I39" s="5" t="n">
        <v>92</v>
      </c>
      <c r="J39" s="5" t="n">
        <v>0</v>
      </c>
      <c r="K39" s="5" t="n">
        <v>0</v>
      </c>
      <c r="L39" s="5" t="n">
        <v>92</v>
      </c>
      <c r="M39" s="5" t="n">
        <v>1242</v>
      </c>
      <c r="N39" s="5" t="n">
        <v>0</v>
      </c>
      <c r="O39" s="5" t="n">
        <v>31.05</v>
      </c>
      <c r="P39" s="5" t="n">
        <v>31.05</v>
      </c>
      <c r="Q39" s="5" t="n">
        <v>1304.1</v>
      </c>
      <c r="R39" s="5" t="n">
        <v>195</v>
      </c>
      <c r="S39" s="5" t="n">
        <v>105.8</v>
      </c>
      <c r="T39" s="5" t="n">
        <v>119.6</v>
      </c>
      <c r="U39" s="3"/>
      <c r="V39" s="3" t="s">
        <v>29</v>
      </c>
    </row>
    <row r="40" customFormat="false" ht="15" hidden="false" customHeight="true" outlineLevel="0" collapsed="false">
      <c r="A40" s="7" t="n">
        <v>38</v>
      </c>
      <c r="B40" s="7" t="s">
        <v>66</v>
      </c>
      <c r="C40" s="8" t="s">
        <v>26</v>
      </c>
      <c r="D40" s="7" t="n">
        <v>500720</v>
      </c>
      <c r="E40" s="7" t="s">
        <v>27</v>
      </c>
      <c r="F40" s="7" t="s">
        <v>28</v>
      </c>
      <c r="G40" s="9" t="n">
        <v>14.3</v>
      </c>
      <c r="H40" s="10" t="n">
        <v>6</v>
      </c>
      <c r="I40" s="9" t="n">
        <v>92</v>
      </c>
      <c r="J40" s="9" t="n">
        <v>0</v>
      </c>
      <c r="K40" s="9" t="n">
        <v>0</v>
      </c>
      <c r="L40" s="9" t="n">
        <v>92</v>
      </c>
      <c r="M40" s="9" t="n">
        <v>1315.6</v>
      </c>
      <c r="N40" s="9" t="n">
        <v>0</v>
      </c>
      <c r="O40" s="9" t="n">
        <v>32.89</v>
      </c>
      <c r="P40" s="9" t="n">
        <v>32.89</v>
      </c>
      <c r="Q40" s="9" t="n">
        <v>1381.38</v>
      </c>
      <c r="R40" s="9" t="n">
        <v>195</v>
      </c>
      <c r="S40" s="9" t="n">
        <v>105.8</v>
      </c>
      <c r="T40" s="9" t="n">
        <v>119.6</v>
      </c>
      <c r="U40" s="7"/>
      <c r="V40" s="7" t="s">
        <v>29</v>
      </c>
    </row>
    <row r="41" customFormat="false" ht="15" hidden="false" customHeight="true" outlineLevel="0" collapsed="false">
      <c r="A41" s="3" t="n">
        <v>39</v>
      </c>
      <c r="B41" s="3" t="s">
        <v>67</v>
      </c>
      <c r="C41" s="4" t="s">
        <v>26</v>
      </c>
      <c r="D41" s="3" t="n">
        <v>500720</v>
      </c>
      <c r="E41" s="3" t="s">
        <v>27</v>
      </c>
      <c r="F41" s="3" t="s">
        <v>28</v>
      </c>
      <c r="G41" s="5" t="n">
        <v>11</v>
      </c>
      <c r="H41" s="6" t="n">
        <v>2</v>
      </c>
      <c r="I41" s="5" t="n">
        <v>148</v>
      </c>
      <c r="J41" s="5" t="n">
        <v>0</v>
      </c>
      <c r="K41" s="5" t="n">
        <v>0</v>
      </c>
      <c r="L41" s="5" t="n">
        <v>148</v>
      </c>
      <c r="M41" s="5" t="n">
        <v>1628</v>
      </c>
      <c r="N41" s="5" t="n">
        <v>0</v>
      </c>
      <c r="O41" s="5" t="n">
        <v>40.7</v>
      </c>
      <c r="P41" s="5" t="n">
        <v>40.7</v>
      </c>
      <c r="Q41" s="5" t="n">
        <v>1709.4</v>
      </c>
      <c r="R41" s="5" t="n">
        <v>325</v>
      </c>
      <c r="S41" s="5" t="n">
        <v>170.2</v>
      </c>
      <c r="T41" s="5" t="n">
        <v>192.4</v>
      </c>
      <c r="U41" s="3"/>
      <c r="V41" s="3" t="s">
        <v>29</v>
      </c>
    </row>
    <row r="42" customFormat="false" ht="15" hidden="false" customHeight="true" outlineLevel="0" collapsed="false">
      <c r="A42" s="7" t="n">
        <v>40</v>
      </c>
      <c r="B42" s="7" t="s">
        <v>68</v>
      </c>
      <c r="C42" s="8" t="s">
        <v>26</v>
      </c>
      <c r="D42" s="7" t="n">
        <v>500720</v>
      </c>
      <c r="E42" s="7" t="s">
        <v>27</v>
      </c>
      <c r="F42" s="7" t="s">
        <v>28</v>
      </c>
      <c r="G42" s="9" t="n">
        <v>11</v>
      </c>
      <c r="H42" s="10" t="n">
        <v>2</v>
      </c>
      <c r="I42" s="9" t="n">
        <v>148</v>
      </c>
      <c r="J42" s="9" t="n">
        <v>0</v>
      </c>
      <c r="K42" s="9" t="n">
        <v>0</v>
      </c>
      <c r="L42" s="9" t="n">
        <v>148</v>
      </c>
      <c r="M42" s="9" t="n">
        <v>1628</v>
      </c>
      <c r="N42" s="9" t="n">
        <v>0</v>
      </c>
      <c r="O42" s="9" t="n">
        <v>40.7</v>
      </c>
      <c r="P42" s="9" t="n">
        <v>40.7</v>
      </c>
      <c r="Q42" s="9" t="n">
        <v>1709.4</v>
      </c>
      <c r="R42" s="9" t="n">
        <v>325</v>
      </c>
      <c r="S42" s="9" t="n">
        <v>170.2</v>
      </c>
      <c r="T42" s="9" t="n">
        <v>192.4</v>
      </c>
      <c r="U42" s="7"/>
      <c r="V42" s="7" t="s">
        <v>29</v>
      </c>
    </row>
    <row r="43" customFormat="false" ht="15" hidden="false" customHeight="true" outlineLevel="0" collapsed="false">
      <c r="A43" s="11" t="s">
        <v>69</v>
      </c>
      <c r="B43" s="11"/>
      <c r="C43" s="12"/>
      <c r="D43" s="11"/>
      <c r="E43" s="11"/>
      <c r="F43" s="11"/>
      <c r="G43" s="13" t="n">
        <f aca="false">SUM(G3:G42)</f>
        <v>441.85</v>
      </c>
      <c r="H43" s="14" t="n">
        <f aca="false">SUM(H3:H42)</f>
        <v>1064</v>
      </c>
      <c r="I43" s="13" t="n">
        <f aca="false">AVERAGE(I3:I42)</f>
        <v>91.6</v>
      </c>
      <c r="J43" s="13" t="n">
        <f aca="false">SUM(J3:J42)</f>
        <v>0</v>
      </c>
      <c r="K43" s="13" t="n">
        <f aca="false">SUM(K3:K42)</f>
        <v>0</v>
      </c>
      <c r="L43" s="13" t="n">
        <f aca="false">AVERAGE(L3:L42)</f>
        <v>91.6</v>
      </c>
      <c r="M43" s="13" t="n">
        <f aca="false">SUM(M3:M42)</f>
        <v>40520</v>
      </c>
      <c r="N43" s="13" t="n">
        <f aca="false">SUM(N3:N42)</f>
        <v>0</v>
      </c>
      <c r="O43" s="13" t="n">
        <f aca="false">SUM(O3:O42)</f>
        <v>1013</v>
      </c>
      <c r="P43" s="13" t="n">
        <f aca="false">SUM(P3:P42)</f>
        <v>1013</v>
      </c>
      <c r="Q43" s="13" t="n">
        <f aca="false">SUM(Q3:Q42)</f>
        <v>42546</v>
      </c>
      <c r="R43" s="13" t="n">
        <f aca="false">AVERAGE(R3:R42)</f>
        <v>201.5</v>
      </c>
      <c r="S43" s="13" t="n">
        <f aca="false">AVERAGE(S3:S42)</f>
        <v>105.34</v>
      </c>
      <c r="T43" s="13" t="n">
        <f aca="false">AVERAGE(T3:T42)</f>
        <v>119.08</v>
      </c>
      <c r="U43" s="11"/>
      <c r="V43" s="11"/>
    </row>
    <row r="45" customFormat="false" ht="21.75" hidden="false" customHeight="true" outlineLevel="0" collapsed="false">
      <c r="A45" s="15" t="s">
        <v>70</v>
      </c>
    </row>
    <row r="46" customFormat="false" ht="24" hidden="false" customHeight="true" outlineLevel="0" collapsed="false">
      <c r="A46" s="2" t="s">
        <v>0</v>
      </c>
      <c r="B46" s="2" t="s">
        <v>71</v>
      </c>
      <c r="C46" s="2" t="s">
        <v>72</v>
      </c>
      <c r="D46" s="2" t="s">
        <v>73</v>
      </c>
      <c r="E46" s="2" t="s">
        <v>74</v>
      </c>
      <c r="F46" s="2" t="s">
        <v>8</v>
      </c>
      <c r="G46" s="2" t="s">
        <v>9</v>
      </c>
    </row>
    <row r="47" customFormat="false" ht="19.5" hidden="false" customHeight="true" outlineLevel="0" collapsed="false">
      <c r="A47" s="16" t="n">
        <v>1</v>
      </c>
      <c r="B47" s="16" t="n">
        <v>1</v>
      </c>
      <c r="C47" s="16" t="str">
        <f aca="false">C3</f>
        <v>10-PFAB</v>
      </c>
      <c r="D47" s="17" t="n">
        <f aca="false">SUM(G3:G34)</f>
        <v>340.55</v>
      </c>
      <c r="E47" s="17" t="n">
        <f aca="false">SUM(M3:M34)</f>
        <v>29968.4</v>
      </c>
      <c r="F47" s="17" t="n">
        <f aca="false">ROUND(E47*5%,2)</f>
        <v>1498.42</v>
      </c>
      <c r="G47" s="17" t="n">
        <f aca="false">E47+F47</f>
        <v>31466.82</v>
      </c>
    </row>
    <row r="48" customFormat="false" ht="19.5" hidden="false" customHeight="true" outlineLevel="0" collapsed="false">
      <c r="A48" s="16" t="n">
        <v>2</v>
      </c>
      <c r="B48" s="16" t="n">
        <v>2</v>
      </c>
      <c r="C48" s="16" t="str">
        <f aca="false">C35</f>
        <v>10-PFAB</v>
      </c>
      <c r="D48" s="17" t="n">
        <f aca="false">SUM(G35:G40)</f>
        <v>79.3</v>
      </c>
      <c r="E48" s="17" t="n">
        <f aca="false">SUM(M35:M40)</f>
        <v>7295.6</v>
      </c>
      <c r="F48" s="17" t="n">
        <f aca="false">ROUND(E48*5%,2)</f>
        <v>364.78</v>
      </c>
      <c r="G48" s="17" t="n">
        <f aca="false">E48+F48</f>
        <v>7660.38</v>
      </c>
    </row>
    <row r="49" customFormat="false" ht="19.5" hidden="false" customHeight="true" outlineLevel="0" collapsed="false">
      <c r="A49" s="16" t="n">
        <v>3</v>
      </c>
      <c r="B49" s="16" t="n">
        <v>3</v>
      </c>
      <c r="C49" s="16" t="str">
        <f aca="false">C41</f>
        <v>10-PFAB</v>
      </c>
      <c r="D49" s="17" t="n">
        <f aca="false">SUM(G41:G42)</f>
        <v>22</v>
      </c>
      <c r="E49" s="17" t="n">
        <f aca="false">SUM(M41:M42)</f>
        <v>3256</v>
      </c>
      <c r="F49" s="17" t="n">
        <f aca="false">ROUND(E49*5%,2)</f>
        <v>162.8</v>
      </c>
      <c r="G49" s="17" t="n">
        <f aca="false">E49+F49</f>
        <v>3418.8</v>
      </c>
    </row>
    <row r="50" customFormat="false" ht="19.5" hidden="false" customHeight="true" outlineLevel="0" collapsed="false">
      <c r="A50" s="18" t="s">
        <v>69</v>
      </c>
      <c r="B50" s="19"/>
      <c r="C50" s="19"/>
      <c r="D50" s="20" t="n">
        <f aca="false">SUM(D47:D49)</f>
        <v>441.85</v>
      </c>
      <c r="E50" s="20" t="n">
        <f aca="false">SUM(E47:E49)</f>
        <v>40520</v>
      </c>
      <c r="F50" s="20" t="n">
        <f aca="false">ROUND(E50*5%,2)</f>
        <v>2026</v>
      </c>
      <c r="G50" s="20" t="n">
        <f aca="false">E50+F50</f>
        <v>42546</v>
      </c>
    </row>
  </sheetData>
  <autoFilter ref="A1:V43"/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2026-09-05T12:52:08Z</dcterms:created>
  <dc:creator>openpyxl</dc:creator>
  <dc:description/>
  <dc:language>en-US</dc:language>
  <cp:lastModifiedBy>Admin</cp:lastModifiedBy>
  <dcterms:modified xsi:type="dcterms:W3CDTF">2026-09-10T07:19:35Z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